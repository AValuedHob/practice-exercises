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h\workspace\excel\practice-exercises\"/>
    </mc:Choice>
  </mc:AlternateContent>
  <xr:revisionPtr revIDLastSave="0" documentId="13_ncr:1_{9C502422-671D-4536-BD1E-824DE4883A75}" xr6:coauthVersionLast="47" xr6:coauthVersionMax="47" xr10:uidLastSave="{00000000-0000-0000-0000-000000000000}"/>
  <bookViews>
    <workbookView xWindow="-96" yWindow="-96" windowWidth="23232" windowHeight="12552" activeTab="1" xr2:uid="{00000000-000D-0000-FFFF-FFFF00000000}"/>
  </bookViews>
  <sheets>
    <sheet name="starwars" sheetId="1" r:id="rId1"/>
    <sheet name="Height Stats" sheetId="4" r:id="rId2"/>
    <sheet name="Answers" sheetId="3" r:id="rId3"/>
    <sheet name="data_dictionary" sheetId="2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0" i="4" l="1"/>
  <c r="C89" i="4"/>
  <c r="C88" i="4"/>
  <c r="C87" i="4"/>
  <c r="C85" i="4"/>
  <c r="E86" i="4"/>
  <c r="F84" i="4"/>
  <c r="F83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F39" i="4" s="1"/>
  <c r="E40" i="4"/>
  <c r="F40" i="4" s="1"/>
  <c r="E41" i="4"/>
  <c r="E42" i="4"/>
  <c r="E43" i="4"/>
  <c r="E44" i="4"/>
  <c r="E45" i="4"/>
  <c r="E46" i="4"/>
  <c r="E47" i="4"/>
  <c r="F47" i="4" s="1"/>
  <c r="E48" i="4"/>
  <c r="F48" i="4" s="1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2" i="4"/>
  <c r="F2" i="4" s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41" i="4"/>
  <c r="F42" i="4"/>
  <c r="F43" i="4"/>
  <c r="F44" i="4"/>
  <c r="F45" i="4"/>
  <c r="F46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3" i="4"/>
  <c r="C84" i="4"/>
  <c r="D83" i="4"/>
  <c r="B84" i="4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D2" i="4"/>
  <c r="D3" i="4"/>
  <c r="D4" i="4"/>
  <c r="D5" i="4"/>
  <c r="D6" i="4"/>
  <c r="D7" i="4"/>
  <c r="D8" i="4"/>
  <c r="B83" i="4"/>
  <c r="C83" i="4"/>
  <c r="D18" i="4"/>
  <c r="D46" i="4"/>
  <c r="D45" i="4"/>
  <c r="D55" i="4"/>
  <c r="D40" i="4"/>
  <c r="D79" i="4"/>
  <c r="D41" i="4"/>
  <c r="D31" i="4"/>
  <c r="D32" i="4"/>
  <c r="D25" i="4"/>
  <c r="D42" i="4"/>
  <c r="D26" i="4"/>
  <c r="D47" i="4"/>
  <c r="D72" i="4"/>
  <c r="D60" i="4"/>
  <c r="D35" i="4"/>
  <c r="D33" i="4"/>
  <c r="D43" i="4"/>
  <c r="D13" i="4"/>
  <c r="D15" i="4"/>
  <c r="D64" i="4"/>
  <c r="D61" i="4"/>
  <c r="D27" i="4"/>
  <c r="D67" i="4"/>
  <c r="D78" i="4"/>
  <c r="D74" i="4"/>
  <c r="D48" i="4"/>
  <c r="D11" i="4"/>
  <c r="D9" i="4"/>
  <c r="D49" i="4"/>
  <c r="D16" i="4"/>
  <c r="D34" i="4"/>
  <c r="D44" i="4"/>
  <c r="D37" i="4"/>
  <c r="D10" i="4"/>
  <c r="D17" i="4"/>
  <c r="D56" i="4"/>
  <c r="D70" i="4"/>
  <c r="D68" i="4"/>
  <c r="D29" i="4"/>
  <c r="D53" i="4"/>
  <c r="D57" i="4"/>
  <c r="D82" i="4"/>
  <c r="D58" i="4"/>
  <c r="D69" i="4"/>
  <c r="D54" i="4"/>
  <c r="D14" i="4"/>
  <c r="D50" i="4"/>
  <c r="D51" i="4"/>
  <c r="D28" i="4"/>
  <c r="D21" i="4"/>
  <c r="D19" i="4"/>
  <c r="D65" i="4"/>
  <c r="D62" i="4"/>
  <c r="D52" i="4"/>
  <c r="D24" i="4"/>
  <c r="D71" i="4"/>
  <c r="D80" i="4"/>
  <c r="D76" i="4"/>
  <c r="D23" i="4"/>
  <c r="D66" i="4"/>
  <c r="D63" i="4"/>
  <c r="D38" i="4"/>
  <c r="D77" i="4"/>
  <c r="D81" i="4"/>
  <c r="D59" i="4"/>
  <c r="D39" i="4"/>
  <c r="D75" i="4"/>
  <c r="D20" i="4"/>
  <c r="D22" i="4"/>
  <c r="D73" i="4"/>
  <c r="D12" i="4"/>
  <c r="D36" i="4"/>
  <c r="D30" i="4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P16" i="1"/>
  <c r="P39" i="1"/>
  <c r="P41" i="1"/>
  <c r="P80" i="1"/>
  <c r="P87" i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O40" i="1"/>
  <c r="P40" i="1" s="1"/>
  <c r="O41" i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59" i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O81" i="1"/>
  <c r="P81" i="1" s="1"/>
  <c r="O82" i="1"/>
  <c r="P82" i="1" s="1"/>
  <c r="O83" i="1"/>
  <c r="P83" i="1" s="1"/>
  <c r="O84" i="1"/>
  <c r="P84" i="1" s="1"/>
  <c r="O85" i="1"/>
  <c r="P85" i="1" s="1"/>
  <c r="O86" i="1"/>
  <c r="P86" i="1" s="1"/>
  <c r="O87" i="1"/>
  <c r="O88" i="1"/>
  <c r="P88" i="1" s="1"/>
  <c r="O2" i="1"/>
  <c r="P2" i="1" s="1"/>
  <c r="O3" i="1"/>
  <c r="P3" i="1" s="1"/>
  <c r="O4" i="1"/>
  <c r="P4" i="1" s="1"/>
  <c r="O5" i="1"/>
  <c r="P5" i="1" s="1"/>
  <c r="D2" i="1"/>
  <c r="G2" i="1" s="1"/>
  <c r="D3" i="1"/>
  <c r="D4" i="1"/>
  <c r="D5" i="1"/>
  <c r="D6" i="1"/>
  <c r="G6" i="1" s="1"/>
  <c r="D7" i="1"/>
  <c r="G7" i="1" s="1"/>
  <c r="D8" i="1"/>
  <c r="G8" i="1" s="1"/>
  <c r="D9" i="1"/>
  <c r="G9" i="1" s="1"/>
  <c r="D10" i="1"/>
  <c r="G10" i="1" s="1"/>
  <c r="D11" i="1"/>
  <c r="D12" i="1"/>
  <c r="D13" i="1"/>
  <c r="D14" i="1"/>
  <c r="D15" i="1"/>
  <c r="G15" i="1" s="1"/>
  <c r="D16" i="1"/>
  <c r="G16" i="1" s="1"/>
  <c r="D17" i="1"/>
  <c r="G17" i="1" s="1"/>
  <c r="D18" i="1"/>
  <c r="G18" i="1" s="1"/>
  <c r="D19" i="1"/>
  <c r="D20" i="1"/>
  <c r="D21" i="1"/>
  <c r="D22" i="1"/>
  <c r="G22" i="1" s="1"/>
  <c r="D23" i="1"/>
  <c r="G23" i="1" s="1"/>
  <c r="D24" i="1"/>
  <c r="G24" i="1" s="1"/>
  <c r="D25" i="1"/>
  <c r="G25" i="1" s="1"/>
  <c r="D26" i="1"/>
  <c r="G26" i="1" s="1"/>
  <c r="D27" i="1"/>
  <c r="D28" i="1"/>
  <c r="D29" i="1"/>
  <c r="D30" i="1"/>
  <c r="G30" i="1" s="1"/>
  <c r="D31" i="1"/>
  <c r="G31" i="1" s="1"/>
  <c r="D32" i="1"/>
  <c r="G32" i="1" s="1"/>
  <c r="D33" i="1"/>
  <c r="G33" i="1" s="1"/>
  <c r="D34" i="1"/>
  <c r="D35" i="1"/>
  <c r="D36" i="1"/>
  <c r="D37" i="1"/>
  <c r="G37" i="1" s="1"/>
  <c r="D38" i="1"/>
  <c r="D39" i="1"/>
  <c r="D40" i="1"/>
  <c r="G40" i="1" s="1"/>
  <c r="D41" i="1"/>
  <c r="D42" i="1"/>
  <c r="D43" i="1"/>
  <c r="D44" i="1"/>
  <c r="D45" i="1"/>
  <c r="D46" i="1"/>
  <c r="D47" i="1"/>
  <c r="D48" i="1"/>
  <c r="G48" i="1" s="1"/>
  <c r="D49" i="1"/>
  <c r="D50" i="1"/>
  <c r="D51" i="1"/>
  <c r="D52" i="1"/>
  <c r="D53" i="1"/>
  <c r="G53" i="1" s="1"/>
  <c r="D54" i="1"/>
  <c r="D55" i="1"/>
  <c r="D56" i="1"/>
  <c r="G56" i="1" s="1"/>
  <c r="D57" i="1"/>
  <c r="D58" i="1"/>
  <c r="G58" i="1" s="1"/>
  <c r="D59" i="1"/>
  <c r="D60" i="1"/>
  <c r="D61" i="1"/>
  <c r="G61" i="1" s="1"/>
  <c r="D62" i="1"/>
  <c r="D63" i="1"/>
  <c r="D64" i="1"/>
  <c r="G64" i="1" s="1"/>
  <c r="D65" i="1"/>
  <c r="D66" i="1"/>
  <c r="D67" i="1"/>
  <c r="D68" i="1"/>
  <c r="D69" i="1"/>
  <c r="D70" i="1"/>
  <c r="D71" i="1"/>
  <c r="D72" i="1"/>
  <c r="D73" i="1"/>
  <c r="D74" i="1"/>
  <c r="G74" i="1" s="1"/>
  <c r="D75" i="1"/>
  <c r="D76" i="1"/>
  <c r="D77" i="1"/>
  <c r="D78" i="1"/>
  <c r="D79" i="1"/>
  <c r="D80" i="1"/>
  <c r="G80" i="1" s="1"/>
  <c r="D81" i="1"/>
  <c r="D82" i="1"/>
  <c r="D83" i="1"/>
  <c r="D84" i="1"/>
  <c r="D85" i="1"/>
  <c r="D86" i="1"/>
  <c r="D87" i="1"/>
  <c r="D88" i="1"/>
  <c r="G3" i="1"/>
  <c r="G4" i="1"/>
  <c r="G11" i="1"/>
  <c r="G12" i="1"/>
  <c r="G13" i="1"/>
  <c r="G14" i="1"/>
  <c r="G19" i="1"/>
  <c r="G20" i="1"/>
  <c r="G27" i="1"/>
  <c r="G28" i="1"/>
  <c r="G35" i="1"/>
  <c r="G43" i="1"/>
  <c r="G44" i="1"/>
  <c r="G51" i="1"/>
  <c r="G68" i="1"/>
  <c r="G76" i="1"/>
  <c r="G77" i="1"/>
  <c r="G83" i="1" l="1"/>
  <c r="G67" i="1"/>
  <c r="G42" i="1"/>
  <c r="G81" i="1"/>
  <c r="G73" i="1"/>
  <c r="G65" i="1"/>
  <c r="G57" i="1"/>
  <c r="G49" i="1"/>
  <c r="G41" i="1"/>
  <c r="G84" i="1"/>
  <c r="G60" i="1"/>
  <c r="G52" i="1"/>
  <c r="G36" i="1"/>
  <c r="G75" i="1"/>
  <c r="G59" i="1"/>
  <c r="G82" i="1"/>
  <c r="G66" i="1"/>
  <c r="G50" i="1"/>
  <c r="G34" i="1"/>
  <c r="G88" i="1"/>
  <c r="G72" i="1"/>
  <c r="G21" i="1"/>
  <c r="G87" i="1"/>
  <c r="G79" i="1"/>
  <c r="G71" i="1"/>
  <c r="G63" i="1"/>
  <c r="G55" i="1"/>
  <c r="G47" i="1"/>
  <c r="I47" i="1" s="1"/>
  <c r="G39" i="1"/>
  <c r="G85" i="1"/>
  <c r="I44" i="1"/>
  <c r="G86" i="1"/>
  <c r="G78" i="1"/>
  <c r="G70" i="1"/>
  <c r="G62" i="1"/>
  <c r="I62" i="1" s="1"/>
  <c r="G54" i="1"/>
  <c r="I54" i="1" s="1"/>
  <c r="G46" i="1"/>
  <c r="G38" i="1"/>
  <c r="G69" i="1"/>
  <c r="G45" i="1"/>
  <c r="G29" i="1"/>
  <c r="G5" i="1"/>
  <c r="I80" i="1"/>
  <c r="I64" i="1"/>
  <c r="I16" i="1"/>
  <c r="I8" i="1"/>
  <c r="I27" i="1"/>
  <c r="I19" i="1"/>
  <c r="I12" i="1"/>
  <c r="I88" i="1" l="1"/>
  <c r="I55" i="1"/>
  <c r="I20" i="1"/>
  <c r="I17" i="1"/>
  <c r="I25" i="1"/>
  <c r="I29" i="1"/>
  <c r="H16" i="1"/>
  <c r="I63" i="1"/>
  <c r="I83" i="1"/>
  <c r="I46" i="1"/>
  <c r="I86" i="1"/>
  <c r="I87" i="1"/>
  <c r="I36" i="1"/>
  <c r="H21" i="1"/>
  <c r="I52" i="1"/>
  <c r="I41" i="1"/>
  <c r="I60" i="1"/>
  <c r="I7" i="1"/>
  <c r="I10" i="1"/>
  <c r="I43" i="1"/>
  <c r="I32" i="1"/>
  <c r="I79" i="1"/>
  <c r="I75" i="1"/>
  <c r="I42" i="1"/>
  <c r="I33" i="1"/>
  <c r="I24" i="1"/>
  <c r="I68" i="1"/>
  <c r="I65" i="1"/>
  <c r="I51" i="1"/>
  <c r="I48" i="1"/>
  <c r="H78" i="1"/>
  <c r="I5" i="1"/>
  <c r="I49" i="1"/>
  <c r="I6" i="1"/>
  <c r="H45" i="1"/>
  <c r="I23" i="1"/>
  <c r="I26" i="1"/>
  <c r="I14" i="1"/>
  <c r="I56" i="1"/>
  <c r="I69" i="1"/>
  <c r="I37" i="1"/>
  <c r="I71" i="1"/>
  <c r="I85" i="1"/>
  <c r="I15" i="1"/>
  <c r="I22" i="1"/>
  <c r="H39" i="1"/>
  <c r="I35" i="1"/>
  <c r="I18" i="1"/>
  <c r="I31" i="1"/>
  <c r="I3" i="1"/>
  <c r="I2" i="1"/>
  <c r="I53" i="1"/>
  <c r="I38" i="1"/>
  <c r="I9" i="1"/>
  <c r="I11" i="1"/>
  <c r="I30" i="1"/>
  <c r="I13" i="1"/>
  <c r="H44" i="1"/>
  <c r="H81" i="1"/>
  <c r="H17" i="1"/>
  <c r="H68" i="1"/>
  <c r="H61" i="1"/>
  <c r="H14" i="1"/>
  <c r="H74" i="1"/>
  <c r="H53" i="1"/>
  <c r="H47" i="1"/>
  <c r="I21" i="1"/>
  <c r="H50" i="1"/>
  <c r="H3" i="1"/>
  <c r="H76" i="1"/>
  <c r="H22" i="1"/>
  <c r="H7" i="1"/>
  <c r="H38" i="1"/>
  <c r="H85" i="1"/>
  <c r="H63" i="1"/>
  <c r="H66" i="1"/>
  <c r="I84" i="1"/>
  <c r="I66" i="1"/>
  <c r="H11" i="1"/>
  <c r="I4" i="1"/>
  <c r="H48" i="1"/>
  <c r="H8" i="1"/>
  <c r="H30" i="1"/>
  <c r="H15" i="1"/>
  <c r="H59" i="1"/>
  <c r="H51" i="1"/>
  <c r="H69" i="1"/>
  <c r="H34" i="1"/>
  <c r="H55" i="1"/>
  <c r="I45" i="1"/>
  <c r="I59" i="1"/>
  <c r="I50" i="1"/>
  <c r="H26" i="1"/>
  <c r="H77" i="1"/>
  <c r="H46" i="1"/>
  <c r="H71" i="1"/>
  <c r="H82" i="1"/>
  <c r="H36" i="1"/>
  <c r="H41" i="1"/>
  <c r="I57" i="1"/>
  <c r="I82" i="1"/>
  <c r="H19" i="1"/>
  <c r="H4" i="1"/>
  <c r="H25" i="1"/>
  <c r="H32" i="1"/>
  <c r="H23" i="1"/>
  <c r="H73" i="1"/>
  <c r="H9" i="1"/>
  <c r="H75" i="1"/>
  <c r="H54" i="1"/>
  <c r="H72" i="1"/>
  <c r="I34" i="1"/>
  <c r="H49" i="1"/>
  <c r="H27" i="1"/>
  <c r="H18" i="1"/>
  <c r="H31" i="1"/>
  <c r="H5" i="1"/>
  <c r="H62" i="1"/>
  <c r="I70" i="1"/>
  <c r="I61" i="1"/>
  <c r="H87" i="1"/>
  <c r="I28" i="1"/>
  <c r="H88" i="1"/>
  <c r="I58" i="1"/>
  <c r="H60" i="1"/>
  <c r="H57" i="1"/>
  <c r="I73" i="1"/>
  <c r="H83" i="1"/>
  <c r="H35" i="1"/>
  <c r="H20" i="1"/>
  <c r="H13" i="1"/>
  <c r="H33" i="1"/>
  <c r="H24" i="1"/>
  <c r="H80" i="1"/>
  <c r="H42" i="1"/>
  <c r="H6" i="1"/>
  <c r="H86" i="1"/>
  <c r="H2" i="1"/>
  <c r="H79" i="1"/>
  <c r="H52" i="1"/>
  <c r="H67" i="1"/>
  <c r="H12" i="1"/>
  <c r="H64" i="1"/>
  <c r="H40" i="1"/>
  <c r="I40" i="1"/>
  <c r="H29" i="1"/>
  <c r="H70" i="1"/>
  <c r="I78" i="1"/>
  <c r="I77" i="1"/>
  <c r="I39" i="1"/>
  <c r="I76" i="1"/>
  <c r="I72" i="1"/>
  <c r="I74" i="1"/>
  <c r="H84" i="1"/>
  <c r="H65" i="1"/>
  <c r="I81" i="1"/>
  <c r="I67" i="1"/>
  <c r="H43" i="1"/>
  <c r="H28" i="1"/>
  <c r="H37" i="1"/>
  <c r="H58" i="1"/>
  <c r="H56" i="1"/>
  <c r="H10" i="1"/>
</calcChain>
</file>

<file path=xl/sharedStrings.xml><?xml version="1.0" encoding="utf-8"?>
<sst xmlns="http://schemas.openxmlformats.org/spreadsheetml/2006/main" count="1479" uniqueCount="303">
  <si>
    <t>name</t>
  </si>
  <si>
    <t>height</t>
  </si>
  <si>
    <t>mass</t>
  </si>
  <si>
    <t>hair_color</t>
  </si>
  <si>
    <t>skin_color</t>
  </si>
  <si>
    <t>eye_color</t>
  </si>
  <si>
    <t>age</t>
  </si>
  <si>
    <t>homeworld</t>
  </si>
  <si>
    <t>species</t>
  </si>
  <si>
    <t>films</t>
  </si>
  <si>
    <t>Luke Skywalker</t>
  </si>
  <si>
    <t>blond</t>
  </si>
  <si>
    <t>fair</t>
  </si>
  <si>
    <t>blue</t>
  </si>
  <si>
    <t>Tatooine</t>
  </si>
  <si>
    <t>Human</t>
  </si>
  <si>
    <t xml:space="preserve">Revenge of the Sith ,  Return of the Jedi ,  The Empire Strikes Back ,  A New Hope ,  The Force Awakens  </t>
  </si>
  <si>
    <t>C-3PO</t>
  </si>
  <si>
    <t>NA</t>
  </si>
  <si>
    <t>gold</t>
  </si>
  <si>
    <t>yellow</t>
  </si>
  <si>
    <t>Droid</t>
  </si>
  <si>
    <t xml:space="preserve">Attack of the Clones ,  The Phantom Menace ,  Revenge of the Sith ,  Return of the Jedi ,  The Empire Strikes Back ,  A New Hope </t>
  </si>
  <si>
    <t>R2-D2</t>
  </si>
  <si>
    <t>white, blue</t>
  </si>
  <si>
    <t>red</t>
  </si>
  <si>
    <t>Naboo</t>
  </si>
  <si>
    <t xml:space="preserve">Attack of the Clones ,  The Phantom Menace ,  Revenge of the Sith ,  Return of the Jedi ,  The Empire Strikes Back ,  A New Hope ,  The Force Awakens </t>
  </si>
  <si>
    <t>Darth Vader</t>
  </si>
  <si>
    <t>none</t>
  </si>
  <si>
    <t>white</t>
  </si>
  <si>
    <t xml:space="preserve">Revenge of the Sith ,  Return of the Jedi ,  The Empire Strikes Back ,  A New Hope </t>
  </si>
  <si>
    <t>Leia Organa</t>
  </si>
  <si>
    <t>brown</t>
  </si>
  <si>
    <t>light</t>
  </si>
  <si>
    <t>Alderaan</t>
  </si>
  <si>
    <t xml:space="preserve">Revenge of the Sith ,  Return of the Jedi ,  The Empire Strikes Back ,  A New Hope ,  The Force Awakens </t>
  </si>
  <si>
    <t>Owen Lars</t>
  </si>
  <si>
    <t>brown, grey</t>
  </si>
  <si>
    <t xml:space="preserve">Attack of the Clones ,  Revenge of the Sith ,  A New Hope </t>
  </si>
  <si>
    <t>Beru Whitesun lars</t>
  </si>
  <si>
    <t>R5-D4</t>
  </si>
  <si>
    <t>white, red</t>
  </si>
  <si>
    <t>A New Hope</t>
  </si>
  <si>
    <t>Biggs Darklighter</t>
  </si>
  <si>
    <t>black</t>
  </si>
  <si>
    <t>Obi-Wan Kenobi</t>
  </si>
  <si>
    <t>auburn, white</t>
  </si>
  <si>
    <t>blue-gray</t>
  </si>
  <si>
    <t>Stewjon</t>
  </si>
  <si>
    <t>Anakin Skywalker</t>
  </si>
  <si>
    <t xml:space="preserve">Attack of the Clones ,  The Phantom Menace ,  Revenge of the Sith </t>
  </si>
  <si>
    <t>Wilhuff Tarkin</t>
  </si>
  <si>
    <t>auburn, grey</t>
  </si>
  <si>
    <t>Eriadu</t>
  </si>
  <si>
    <t xml:space="preserve">Revenge of the Sith ,  A New Hope </t>
  </si>
  <si>
    <t>Chewbacca</t>
  </si>
  <si>
    <t>unknown</t>
  </si>
  <si>
    <t>Kashyyyk</t>
  </si>
  <si>
    <t>Wookiee</t>
  </si>
  <si>
    <t>Han Solo</t>
  </si>
  <si>
    <t>Corellia</t>
  </si>
  <si>
    <t xml:space="preserve">Return of the Jedi ,  The Empire Strikes Back ,  A New Hope ,  The Force Awakens </t>
  </si>
  <si>
    <t>Greedo</t>
  </si>
  <si>
    <t>green</t>
  </si>
  <si>
    <t>Rodia</t>
  </si>
  <si>
    <t>Rodian</t>
  </si>
  <si>
    <t>Jabba Desilijic Tiure</t>
  </si>
  <si>
    <t>green-tan, brown</t>
  </si>
  <si>
    <t>orange</t>
  </si>
  <si>
    <t>Nal Hutta</t>
  </si>
  <si>
    <t>Hutt</t>
  </si>
  <si>
    <t xml:space="preserve">The Phantom Menace ,  Return of the Jedi ,  A New Hope </t>
  </si>
  <si>
    <t>Wedge Antilles</t>
  </si>
  <si>
    <t>hazel</t>
  </si>
  <si>
    <t xml:space="preserve">Return of the Jedi ,  The Empire Strikes Back ,  A New Hope </t>
  </si>
  <si>
    <t>Jek Tono Porkins</t>
  </si>
  <si>
    <t>Bestine IV</t>
  </si>
  <si>
    <t>Yoda</t>
  </si>
  <si>
    <t>Yoda's species</t>
  </si>
  <si>
    <t xml:space="preserve">Attack of the Clones ,  The Phantom Menace ,  Revenge of the Sith ,  Return of the Jedi ,  The Empire Strikes Back </t>
  </si>
  <si>
    <t>Palpatine</t>
  </si>
  <si>
    <t>grey</t>
  </si>
  <si>
    <t>pale</t>
  </si>
  <si>
    <t xml:space="preserve"> Attack of the Clones ,  The Phantom Menace ,  Revenge of the Sith ,  Return of the Jedi ,  The Empire Strikes Back </t>
  </si>
  <si>
    <t>Boba Fett</t>
  </si>
  <si>
    <t>Kamino</t>
  </si>
  <si>
    <t xml:space="preserve">Attack of the Clones ,  Return of the Jedi ,  The Empire Strikes Back </t>
  </si>
  <si>
    <t>IG-88</t>
  </si>
  <si>
    <t>metal</t>
  </si>
  <si>
    <t>The Empire Strikes Back</t>
  </si>
  <si>
    <t>Bossk</t>
  </si>
  <si>
    <t>Trandosha</t>
  </si>
  <si>
    <t>Trandoshan</t>
  </si>
  <si>
    <t>Lando Calrissian</t>
  </si>
  <si>
    <t>dark</t>
  </si>
  <si>
    <t>Socorro</t>
  </si>
  <si>
    <t xml:space="preserve">Return of the Jedi ,  The Empire Strikes Back </t>
  </si>
  <si>
    <t>Lobot</t>
  </si>
  <si>
    <t>Bespin</t>
  </si>
  <si>
    <t>Ackbar</t>
  </si>
  <si>
    <t>brown mottle</t>
  </si>
  <si>
    <t>Mon Cala</t>
  </si>
  <si>
    <t>Mon Calamari</t>
  </si>
  <si>
    <t xml:space="preserve">Return of the Jedi ,  The Force Awakens </t>
  </si>
  <si>
    <t>Mon Mothma</t>
  </si>
  <si>
    <t>auburn</t>
  </si>
  <si>
    <t>Chandrila</t>
  </si>
  <si>
    <t>Return of the Jedi</t>
  </si>
  <si>
    <t>Arvel Crynyd</t>
  </si>
  <si>
    <t>Wicket Systri Warrick</t>
  </si>
  <si>
    <t>Endor</t>
  </si>
  <si>
    <t>Ewok</t>
  </si>
  <si>
    <t>Nien Nunb</t>
  </si>
  <si>
    <t>Sullust</t>
  </si>
  <si>
    <t>Sullustan</t>
  </si>
  <si>
    <t>Qui-Gon Jinn</t>
  </si>
  <si>
    <t>The Phantom Menace</t>
  </si>
  <si>
    <t>Nute Gunray</t>
  </si>
  <si>
    <t>mottled green</t>
  </si>
  <si>
    <t>Cato Neimoidia</t>
  </si>
  <si>
    <t>Neimodian</t>
  </si>
  <si>
    <t>Finis Valorum</t>
  </si>
  <si>
    <t>Coruscant</t>
  </si>
  <si>
    <t>Jar Jar Binks</t>
  </si>
  <si>
    <t>Gungan</t>
  </si>
  <si>
    <t xml:space="preserve">Attack of the Clones ,  The Phantom Menace </t>
  </si>
  <si>
    <t>Roos Tarpals</t>
  </si>
  <si>
    <t>Rugor Nass</t>
  </si>
  <si>
    <t>Ric Olié</t>
  </si>
  <si>
    <t>Watto</t>
  </si>
  <si>
    <t>blue, grey</t>
  </si>
  <si>
    <t>Toydaria</t>
  </si>
  <si>
    <t>Toydarian</t>
  </si>
  <si>
    <t xml:space="preserve"> Attack of the Clones ,  The Phantom Menace </t>
  </si>
  <si>
    <t>Sebulba</t>
  </si>
  <si>
    <t>grey, red</t>
  </si>
  <si>
    <t>Malastare</t>
  </si>
  <si>
    <t>Dug</t>
  </si>
  <si>
    <t>Quarsh Panaka</t>
  </si>
  <si>
    <t>Shmi Skywalker</t>
  </si>
  <si>
    <t>Darth Maul</t>
  </si>
  <si>
    <t>Dathomir</t>
  </si>
  <si>
    <t>Zabrak</t>
  </si>
  <si>
    <t>Bib Fortuna</t>
  </si>
  <si>
    <t>pink</t>
  </si>
  <si>
    <t>Ryloth</t>
  </si>
  <si>
    <t>Twi'lek</t>
  </si>
  <si>
    <t>Ayla Secura</t>
  </si>
  <si>
    <t xml:space="preserve"> Attack of the Clones ,  The Phantom Menace ,  Revenge of the Sith </t>
  </si>
  <si>
    <t>Dud Bolt</t>
  </si>
  <si>
    <t>Vulpter</t>
  </si>
  <si>
    <t>Vulptereen</t>
  </si>
  <si>
    <t>Gasgano</t>
  </si>
  <si>
    <t>Troiken</t>
  </si>
  <si>
    <t>Xexto</t>
  </si>
  <si>
    <t>Ben Quadinaros</t>
  </si>
  <si>
    <t>grey, green, yellow</t>
  </si>
  <si>
    <t>Tund</t>
  </si>
  <si>
    <t>Toong</t>
  </si>
  <si>
    <t>Mace Windu</t>
  </si>
  <si>
    <t>Haruun Kal</t>
  </si>
  <si>
    <t>Ki-Adi-Mundi</t>
  </si>
  <si>
    <t>Cerea</t>
  </si>
  <si>
    <t>Cerean</t>
  </si>
  <si>
    <t>Kit Fisto</t>
  </si>
  <si>
    <t>Glee Anselm</t>
  </si>
  <si>
    <t>Nautolan</t>
  </si>
  <si>
    <t>Eeth Koth</t>
  </si>
  <si>
    <t>Iridonia</t>
  </si>
  <si>
    <t xml:space="preserve">The Phantom Menace ,  Revenge of the Sith </t>
  </si>
  <si>
    <t>Adi Gallia</t>
  </si>
  <si>
    <t>Tholothian</t>
  </si>
  <si>
    <t>Saesee Tiin</t>
  </si>
  <si>
    <t>Iktotch</t>
  </si>
  <si>
    <t>Iktotchi</t>
  </si>
  <si>
    <t>Yarael Poof</t>
  </si>
  <si>
    <t>Quermia</t>
  </si>
  <si>
    <t>Quermian</t>
  </si>
  <si>
    <t>Plo Koon</t>
  </si>
  <si>
    <t>Dorin</t>
  </si>
  <si>
    <t>Kel Dor</t>
  </si>
  <si>
    <t>Mas Amedda</t>
  </si>
  <si>
    <t>Champala</t>
  </si>
  <si>
    <t>Chagrian</t>
  </si>
  <si>
    <t>Gregar Typho</t>
  </si>
  <si>
    <t>Attack of the Clones</t>
  </si>
  <si>
    <t>Cordé</t>
  </si>
  <si>
    <t>Cliegg Lars</t>
  </si>
  <si>
    <t>Poggle the Lesser</t>
  </si>
  <si>
    <t>Geonosis</t>
  </si>
  <si>
    <t>Geonosian</t>
  </si>
  <si>
    <t xml:space="preserve">Attack of the Clones ,  Revenge of the Sith </t>
  </si>
  <si>
    <t>Luminara Unduli</t>
  </si>
  <si>
    <t>Mirial</t>
  </si>
  <si>
    <t>Mirialan</t>
  </si>
  <si>
    <t>Barriss Offee</t>
  </si>
  <si>
    <t>Dormé</t>
  </si>
  <si>
    <t>Dooku</t>
  </si>
  <si>
    <t>Serenno</t>
  </si>
  <si>
    <t>Bail Prestor Organa</t>
  </si>
  <si>
    <t>tan</t>
  </si>
  <si>
    <t>Jango Fett</t>
  </si>
  <si>
    <t>Concord Dawn</t>
  </si>
  <si>
    <t>Zam Wesell</t>
  </si>
  <si>
    <t>blonde</t>
  </si>
  <si>
    <t>fair, green, yellow</t>
  </si>
  <si>
    <t>Zolan</t>
  </si>
  <si>
    <t>Clawdite</t>
  </si>
  <si>
    <t>Dexter Jettster</t>
  </si>
  <si>
    <t>Ojom</t>
  </si>
  <si>
    <t>Besalisk</t>
  </si>
  <si>
    <t>Lama Su</t>
  </si>
  <si>
    <t>Kaminoan</t>
  </si>
  <si>
    <t>Taun We</t>
  </si>
  <si>
    <t>Jocasta Nu</t>
  </si>
  <si>
    <t>Ratts Tyerell</t>
  </si>
  <si>
    <t>grey, blue</t>
  </si>
  <si>
    <t>Aleen Minor</t>
  </si>
  <si>
    <t>Aleena</t>
  </si>
  <si>
    <t>R4-P17</t>
  </si>
  <si>
    <t>silver, red</t>
  </si>
  <si>
    <t>red, blue</t>
  </si>
  <si>
    <t>Wat Tambor</t>
  </si>
  <si>
    <t>green, grey</t>
  </si>
  <si>
    <t>Skako</t>
  </si>
  <si>
    <t>Skakoan</t>
  </si>
  <si>
    <t>San Hill</t>
  </si>
  <si>
    <t>Muunilinst</t>
  </si>
  <si>
    <t>Muun</t>
  </si>
  <si>
    <t>Shaak Ti</t>
  </si>
  <si>
    <t>red, blue, white</t>
  </si>
  <si>
    <t>Shili</t>
  </si>
  <si>
    <t>Togruta</t>
  </si>
  <si>
    <t>Grievous</t>
  </si>
  <si>
    <t>brown, white</t>
  </si>
  <si>
    <t>green, yellow</t>
  </si>
  <si>
    <t>Kalee</t>
  </si>
  <si>
    <t>Kaleesh</t>
  </si>
  <si>
    <t>Revenge of the Sith</t>
  </si>
  <si>
    <t>Tarfful</t>
  </si>
  <si>
    <t>Raymus Antilles</t>
  </si>
  <si>
    <t>Sly Moore</t>
  </si>
  <si>
    <t>Umbara</t>
  </si>
  <si>
    <t>Tion Medon</t>
  </si>
  <si>
    <t>Utapau</t>
  </si>
  <si>
    <t>Pau'an</t>
  </si>
  <si>
    <t>Finn</t>
  </si>
  <si>
    <t>The Force Awakens</t>
  </si>
  <si>
    <t>Rey</t>
  </si>
  <si>
    <t>Poe Dameron</t>
  </si>
  <si>
    <t>BB8</t>
  </si>
  <si>
    <t>Captain Phasma</t>
  </si>
  <si>
    <t>Padmé Amidala</t>
  </si>
  <si>
    <t>The character's name</t>
  </si>
  <si>
    <t>Height in cm, NA if unknown</t>
  </si>
  <si>
    <t>Mass in kg, NA if unknown</t>
  </si>
  <si>
    <t>Hair color(s)</t>
  </si>
  <si>
    <t>Skin color(s)</t>
  </si>
  <si>
    <t>Eye color(s)</t>
  </si>
  <si>
    <t>Age in (Earth) years</t>
  </si>
  <si>
    <t>Planet of origin, NA if unknown</t>
  </si>
  <si>
    <t>Species name</t>
  </si>
  <si>
    <t>Films the character appears in</t>
  </si>
  <si>
    <t>height_m</t>
  </si>
  <si>
    <t>bmi</t>
  </si>
  <si>
    <t>bmi_DV</t>
  </si>
  <si>
    <t>bmi_rank</t>
  </si>
  <si>
    <t>Q1</t>
  </si>
  <si>
    <t>Q2</t>
  </si>
  <si>
    <t>Q3</t>
  </si>
  <si>
    <t>birthdate</t>
  </si>
  <si>
    <t>age in days</t>
  </si>
  <si>
    <t>first_movie</t>
  </si>
  <si>
    <t>age_number_check</t>
  </si>
  <si>
    <t>height_inches</t>
  </si>
  <si>
    <t>weight</t>
  </si>
  <si>
    <t xml:space="preserve">Revenge of the Sith </t>
  </si>
  <si>
    <t xml:space="preserve">Attack of the Clones </t>
  </si>
  <si>
    <t xml:space="preserve">Return of the Jedi </t>
  </si>
  <si>
    <t xml:space="preserve">The Phantom Menace </t>
  </si>
  <si>
    <t xml:space="preserve"> Attack of the Clones </t>
  </si>
  <si>
    <t>mean_height</t>
  </si>
  <si>
    <t>height_order</t>
  </si>
  <si>
    <t>Q4</t>
  </si>
  <si>
    <t>Q5</t>
  </si>
  <si>
    <t>Q6</t>
  </si>
  <si>
    <t>Q7</t>
  </si>
  <si>
    <t>Q8</t>
  </si>
  <si>
    <t>Q9</t>
  </si>
  <si>
    <t>Q10</t>
  </si>
  <si>
    <t>see sheet "Height stats"</t>
  </si>
  <si>
    <t>Duplicate?</t>
  </si>
  <si>
    <t>174.358, 180,183</t>
  </si>
  <si>
    <t>diff_mean</t>
  </si>
  <si>
    <t>diff_mean_sqd</t>
  </si>
  <si>
    <t>VARP</t>
  </si>
  <si>
    <t>STDEVP</t>
  </si>
  <si>
    <t>VARP 1194.057, STDEVP 34.555</t>
  </si>
  <si>
    <t>Percentile man</t>
  </si>
  <si>
    <t>Percentile form</t>
  </si>
  <si>
    <t>quartile man</t>
  </si>
  <si>
    <t>quartile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</si>
</sst>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</font>
    <font>
      <sz val="10"/>
      <color theme="1"/>
      <name val="Calibri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14" fontId="0" fillId="0" borderId="0" xfId="0" applyNumberFormat="1"/>
    <xf numFmtId="14" fontId="21" fillId="0" borderId="0" xfId="0" applyNumberFormat="1" applyFont="1"/>
    <xf numFmtId="0" fontId="0" fillId="33" borderId="0" xfId="0" applyFill="1"/>
    <xf numFmtId="0" fontId="20" fillId="0" borderId="0" xfId="0" applyFont="1"/>
    <xf numFmtId="0" fontId="0" fillId="0" borderId="0" xfId="0" applyFill="1"/>
    <xf numFmtId="0" fontId="20" fillId="0" borderId="0" xfId="0" applyFont="1" applyFill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workbookViewId="0">
      <selection activeCell="B87" sqref="B87"/>
    </sheetView>
  </sheetViews>
  <sheetFormatPr defaultColWidth="11" defaultRowHeight="15.6" x14ac:dyDescent="0.6"/>
  <cols>
    <col min="1" max="1" width="18.34765625" bestFit="1" customWidth="1"/>
    <col min="2" max="2" width="11.09765625" customWidth="1"/>
    <col min="3" max="3" width="11.09765625" style="7" customWidth="1"/>
    <col min="4" max="4" width="11.09765625" customWidth="1"/>
    <col min="5" max="5" width="9.25" customWidth="1"/>
    <col min="6" max="6" width="9.25" style="7" customWidth="1"/>
    <col min="7" max="7" width="9.34765625" customWidth="1"/>
    <col min="8" max="9" width="9.25" customWidth="1"/>
    <col min="14" max="14" width="11" style="7"/>
    <col min="18" max="18" width="12.5" bestFit="1" customWidth="1"/>
    <col min="19" max="19" width="26.75" customWidth="1"/>
  </cols>
  <sheetData>
    <row r="1" spans="1:20" x14ac:dyDescent="0.6">
      <c r="A1" t="s">
        <v>0</v>
      </c>
      <c r="B1" t="s">
        <v>1</v>
      </c>
      <c r="C1" s="7" t="s">
        <v>275</v>
      </c>
      <c r="D1" t="s">
        <v>264</v>
      </c>
      <c r="E1" t="s">
        <v>2</v>
      </c>
      <c r="F1" s="7" t="s">
        <v>276</v>
      </c>
      <c r="G1" t="s">
        <v>265</v>
      </c>
      <c r="H1" t="s">
        <v>267</v>
      </c>
      <c r="I1" t="s">
        <v>266</v>
      </c>
      <c r="J1" t="s">
        <v>3</v>
      </c>
      <c r="K1" t="s">
        <v>4</v>
      </c>
      <c r="L1" t="s">
        <v>5</v>
      </c>
      <c r="M1" t="s">
        <v>6</v>
      </c>
      <c r="N1" s="7" t="s">
        <v>274</v>
      </c>
      <c r="O1" t="s">
        <v>272</v>
      </c>
      <c r="P1" t="s">
        <v>271</v>
      </c>
      <c r="Q1" t="s">
        <v>7</v>
      </c>
      <c r="R1" t="s">
        <v>8</v>
      </c>
      <c r="S1" t="s">
        <v>9</v>
      </c>
      <c r="T1" t="s">
        <v>273</v>
      </c>
    </row>
    <row r="2" spans="1:20" x14ac:dyDescent="0.6">
      <c r="A2" t="s">
        <v>10</v>
      </c>
      <c r="B2">
        <v>172</v>
      </c>
      <c r="C2" s="7">
        <f>FLOOR(CONVERT(B2,"cm","in"), 0.5)</f>
        <v>67.5</v>
      </c>
      <c r="D2">
        <f>SUM(B2 / 100)</f>
        <v>1.72</v>
      </c>
      <c r="E2">
        <v>77</v>
      </c>
      <c r="F2" s="7">
        <f>ROUND(CONVERT(E2,"kg","lbm")/0.25,0)*0.25</f>
        <v>169.75</v>
      </c>
      <c r="G2">
        <f t="shared" ref="G2:G33" si="0">IF(OR(ISNUMBER(D2)=FALSE, ISNUMBER(E2)=FALSE),0,E2/(D2^2))</f>
        <v>26.027582477014604</v>
      </c>
      <c r="H2">
        <f>RANK(G2,$G$2:$G$88,0 )</f>
        <v>18</v>
      </c>
      <c r="I2">
        <f>SUM(G2-$G$5)</f>
        <v>-7.302483202820703</v>
      </c>
      <c r="J2" t="s">
        <v>11</v>
      </c>
      <c r="K2" t="s">
        <v>12</v>
      </c>
      <c r="L2" t="s">
        <v>13</v>
      </c>
      <c r="M2">
        <v>19</v>
      </c>
      <c r="N2" s="7" t="b">
        <f>ISNUMBER($M2)</f>
        <v>1</v>
      </c>
      <c r="O2">
        <f>SUM($M2*365)</f>
        <v>6935</v>
      </c>
      <c r="P2" s="3">
        <f ca="1">TODAY() - $O2</f>
        <v>39103</v>
      </c>
      <c r="Q2" t="s">
        <v>14</v>
      </c>
      <c r="R2" t="s">
        <v>15</v>
      </c>
      <c r="S2" t="s">
        <v>16</v>
      </c>
      <c r="T2" t="str">
        <f>LEFT(S2,FIND(",", S2 &amp; ",") -1)</f>
        <v xml:space="preserve">Revenge of the Sith </v>
      </c>
    </row>
    <row r="3" spans="1:20" x14ac:dyDescent="0.6">
      <c r="A3" t="s">
        <v>17</v>
      </c>
      <c r="B3">
        <v>167</v>
      </c>
      <c r="C3" s="7">
        <f t="shared" ref="C3:C66" si="1">FLOOR(CONVERT(B3,"cm","in"), 0.5)</f>
        <v>65.5</v>
      </c>
      <c r="D3">
        <f t="shared" ref="D3:D66" si="2">SUM(B3 / 100)</f>
        <v>1.67</v>
      </c>
      <c r="E3">
        <v>75</v>
      </c>
      <c r="F3" s="7">
        <f t="shared" ref="F3:F66" si="3">ROUND(CONVERT(E3,"kg","lbm")/0.25,0)*0.25</f>
        <v>165.25</v>
      </c>
      <c r="G3">
        <f t="shared" si="0"/>
        <v>26.892323138154829</v>
      </c>
      <c r="H3">
        <f t="shared" ref="H3:H66" si="4">RANK(G3,$G$2:$G$88,0 )</f>
        <v>14</v>
      </c>
      <c r="I3">
        <f t="shared" ref="I3:I66" si="5">SUM(G3-$G$5)</f>
        <v>-6.4377425416804783</v>
      </c>
      <c r="J3" t="s">
        <v>18</v>
      </c>
      <c r="K3" t="s">
        <v>19</v>
      </c>
      <c r="L3" t="s">
        <v>20</v>
      </c>
      <c r="M3">
        <v>112</v>
      </c>
      <c r="N3" s="7" t="b">
        <f t="shared" ref="N3:N66" si="6">ISNUMBER($M3)</f>
        <v>1</v>
      </c>
      <c r="O3">
        <f t="shared" ref="O3:O66" si="7">SUM($M3 * 365)</f>
        <v>40880</v>
      </c>
      <c r="P3" s="3">
        <f t="shared" ref="P3:P66" ca="1" si="8">TODAY() - $O3</f>
        <v>5158</v>
      </c>
      <c r="Q3" t="s">
        <v>14</v>
      </c>
      <c r="R3" t="s">
        <v>21</v>
      </c>
      <c r="S3" t="s">
        <v>22</v>
      </c>
      <c r="T3" t="str">
        <f t="shared" ref="T3:T66" si="9">LEFT(S3,FIND(",", S3 &amp; ",") -1)</f>
        <v xml:space="preserve">Attack of the Clones </v>
      </c>
    </row>
    <row r="4" spans="1:20" x14ac:dyDescent="0.6">
      <c r="A4" t="s">
        <v>23</v>
      </c>
      <c r="B4">
        <v>96</v>
      </c>
      <c r="C4" s="7">
        <f t="shared" si="1"/>
        <v>37.5</v>
      </c>
      <c r="D4">
        <f t="shared" si="2"/>
        <v>0.96</v>
      </c>
      <c r="E4">
        <v>32</v>
      </c>
      <c r="F4" s="7">
        <f t="shared" si="3"/>
        <v>70.5</v>
      </c>
      <c r="G4">
        <f t="shared" si="0"/>
        <v>34.722222222222221</v>
      </c>
      <c r="H4">
        <f t="shared" si="4"/>
        <v>6</v>
      </c>
      <c r="I4">
        <f t="shared" si="5"/>
        <v>1.392156542386914</v>
      </c>
      <c r="J4" t="s">
        <v>18</v>
      </c>
      <c r="K4" t="s">
        <v>24</v>
      </c>
      <c r="L4" t="s">
        <v>25</v>
      </c>
      <c r="M4">
        <v>33</v>
      </c>
      <c r="N4" s="7" t="b">
        <f t="shared" si="6"/>
        <v>1</v>
      </c>
      <c r="O4">
        <f t="shared" si="7"/>
        <v>12045</v>
      </c>
      <c r="P4" s="3">
        <f t="shared" ca="1" si="8"/>
        <v>33993</v>
      </c>
      <c r="Q4" t="s">
        <v>26</v>
      </c>
      <c r="R4" t="s">
        <v>21</v>
      </c>
      <c r="S4" t="s">
        <v>27</v>
      </c>
      <c r="T4" t="str">
        <f t="shared" si="9"/>
        <v xml:space="preserve">Attack of the Clones </v>
      </c>
    </row>
    <row r="5" spans="1:20" x14ac:dyDescent="0.6">
      <c r="A5" t="s">
        <v>28</v>
      </c>
      <c r="B5">
        <v>202</v>
      </c>
      <c r="C5" s="7">
        <f t="shared" si="1"/>
        <v>79.5</v>
      </c>
      <c r="D5">
        <f t="shared" si="2"/>
        <v>2.02</v>
      </c>
      <c r="E5">
        <v>136</v>
      </c>
      <c r="F5" s="7">
        <f t="shared" si="3"/>
        <v>299.75</v>
      </c>
      <c r="G5">
        <f t="shared" si="0"/>
        <v>33.330065679835307</v>
      </c>
      <c r="H5">
        <f t="shared" si="4"/>
        <v>10</v>
      </c>
      <c r="I5">
        <f t="shared" si="5"/>
        <v>0</v>
      </c>
      <c r="J5" t="s">
        <v>29</v>
      </c>
      <c r="K5" t="s">
        <v>30</v>
      </c>
      <c r="L5" t="s">
        <v>20</v>
      </c>
      <c r="M5">
        <v>41.9</v>
      </c>
      <c r="N5" s="7" t="b">
        <f t="shared" si="6"/>
        <v>1</v>
      </c>
      <c r="O5">
        <f t="shared" si="7"/>
        <v>15293.5</v>
      </c>
      <c r="P5" s="3">
        <f t="shared" ca="1" si="8"/>
        <v>30744.5</v>
      </c>
      <c r="Q5" t="s">
        <v>14</v>
      </c>
      <c r="R5" t="s">
        <v>15</v>
      </c>
      <c r="S5" t="s">
        <v>31</v>
      </c>
      <c r="T5" t="str">
        <f t="shared" si="9"/>
        <v xml:space="preserve">Revenge of the Sith </v>
      </c>
    </row>
    <row r="6" spans="1:20" x14ac:dyDescent="0.6">
      <c r="A6" t="s">
        <v>32</v>
      </c>
      <c r="B6">
        <v>150</v>
      </c>
      <c r="C6" s="7">
        <f t="shared" si="1"/>
        <v>59</v>
      </c>
      <c r="D6">
        <f t="shared" si="2"/>
        <v>1.5</v>
      </c>
      <c r="E6">
        <v>49</v>
      </c>
      <c r="F6" s="7">
        <f t="shared" si="3"/>
        <v>108</v>
      </c>
      <c r="G6">
        <f t="shared" si="0"/>
        <v>21.777777777777779</v>
      </c>
      <c r="H6">
        <f t="shared" si="4"/>
        <v>43</v>
      </c>
      <c r="I6">
        <f t="shared" si="5"/>
        <v>-11.552287902057529</v>
      </c>
      <c r="J6" t="s">
        <v>33</v>
      </c>
      <c r="K6" t="s">
        <v>34</v>
      </c>
      <c r="L6" t="s">
        <v>33</v>
      </c>
      <c r="M6">
        <v>19</v>
      </c>
      <c r="N6" s="7" t="b">
        <f t="shared" si="6"/>
        <v>1</v>
      </c>
      <c r="O6">
        <f t="shared" si="7"/>
        <v>6935</v>
      </c>
      <c r="P6" s="3">
        <f t="shared" ca="1" si="8"/>
        <v>39103</v>
      </c>
      <c r="Q6" t="s">
        <v>35</v>
      </c>
      <c r="R6" t="s">
        <v>15</v>
      </c>
      <c r="S6" t="s">
        <v>36</v>
      </c>
      <c r="T6" t="str">
        <f t="shared" si="9"/>
        <v xml:space="preserve">Revenge of the Sith </v>
      </c>
    </row>
    <row r="7" spans="1:20" x14ac:dyDescent="0.6">
      <c r="A7" t="s">
        <v>37</v>
      </c>
      <c r="B7">
        <v>178</v>
      </c>
      <c r="C7" s="7">
        <f t="shared" si="1"/>
        <v>70</v>
      </c>
      <c r="D7">
        <f t="shared" si="2"/>
        <v>1.78</v>
      </c>
      <c r="E7">
        <v>120</v>
      </c>
      <c r="F7" s="7">
        <f t="shared" si="3"/>
        <v>264.5</v>
      </c>
      <c r="G7">
        <f t="shared" si="0"/>
        <v>37.874005807347558</v>
      </c>
      <c r="H7">
        <f t="shared" si="4"/>
        <v>4</v>
      </c>
      <c r="I7">
        <f t="shared" si="5"/>
        <v>4.5439401275122506</v>
      </c>
      <c r="J7" t="s">
        <v>38</v>
      </c>
      <c r="K7" t="s">
        <v>34</v>
      </c>
      <c r="L7" t="s">
        <v>13</v>
      </c>
      <c r="M7">
        <v>52</v>
      </c>
      <c r="N7" s="7" t="b">
        <f t="shared" si="6"/>
        <v>1</v>
      </c>
      <c r="O7">
        <f t="shared" si="7"/>
        <v>18980</v>
      </c>
      <c r="P7" s="3">
        <f t="shared" ca="1" si="8"/>
        <v>27058</v>
      </c>
      <c r="Q7" t="s">
        <v>14</v>
      </c>
      <c r="R7" t="s">
        <v>15</v>
      </c>
      <c r="S7" t="s">
        <v>39</v>
      </c>
      <c r="T7" t="str">
        <f t="shared" si="9"/>
        <v xml:space="preserve">Attack of the Clones </v>
      </c>
    </row>
    <row r="8" spans="1:20" x14ac:dyDescent="0.6">
      <c r="A8" t="s">
        <v>40</v>
      </c>
      <c r="B8">
        <v>165</v>
      </c>
      <c r="C8" s="7">
        <f t="shared" si="1"/>
        <v>64.5</v>
      </c>
      <c r="D8">
        <f t="shared" si="2"/>
        <v>1.65</v>
      </c>
      <c r="E8">
        <v>75</v>
      </c>
      <c r="F8" s="7">
        <f t="shared" si="3"/>
        <v>165.25</v>
      </c>
      <c r="G8">
        <f t="shared" si="0"/>
        <v>27.548209366391188</v>
      </c>
      <c r="H8">
        <f t="shared" si="4"/>
        <v>13</v>
      </c>
      <c r="I8">
        <f t="shared" si="5"/>
        <v>-5.7818563134441199</v>
      </c>
      <c r="J8" t="s">
        <v>33</v>
      </c>
      <c r="K8" t="s">
        <v>34</v>
      </c>
      <c r="L8" t="s">
        <v>13</v>
      </c>
      <c r="M8">
        <v>47</v>
      </c>
      <c r="N8" s="7" t="b">
        <f t="shared" si="6"/>
        <v>1</v>
      </c>
      <c r="O8">
        <f t="shared" si="7"/>
        <v>17155</v>
      </c>
      <c r="P8" s="3">
        <f t="shared" ca="1" si="8"/>
        <v>28883</v>
      </c>
      <c r="Q8" t="s">
        <v>14</v>
      </c>
      <c r="R8" t="s">
        <v>15</v>
      </c>
      <c r="S8" t="s">
        <v>39</v>
      </c>
      <c r="T8" t="str">
        <f t="shared" si="9"/>
        <v xml:space="preserve">Attack of the Clones </v>
      </c>
    </row>
    <row r="9" spans="1:20" x14ac:dyDescent="0.6">
      <c r="A9" t="s">
        <v>41</v>
      </c>
      <c r="B9">
        <v>97</v>
      </c>
      <c r="C9" s="7">
        <f t="shared" si="1"/>
        <v>38</v>
      </c>
      <c r="D9">
        <f t="shared" si="2"/>
        <v>0.97</v>
      </c>
      <c r="E9">
        <v>32</v>
      </c>
      <c r="F9" s="7">
        <f t="shared" si="3"/>
        <v>70.5</v>
      </c>
      <c r="G9">
        <f t="shared" si="0"/>
        <v>34.009990434690195</v>
      </c>
      <c r="H9">
        <f t="shared" si="4"/>
        <v>8</v>
      </c>
      <c r="I9">
        <f t="shared" si="5"/>
        <v>0.67992475485488768</v>
      </c>
      <c r="J9" t="s">
        <v>18</v>
      </c>
      <c r="K9" t="s">
        <v>42</v>
      </c>
      <c r="L9" t="s">
        <v>25</v>
      </c>
      <c r="M9" t="s">
        <v>18</v>
      </c>
      <c r="N9" s="7" t="b">
        <f t="shared" si="6"/>
        <v>0</v>
      </c>
      <c r="O9" t="e">
        <f t="shared" si="7"/>
        <v>#VALUE!</v>
      </c>
      <c r="P9" s="3" t="e">
        <f t="shared" ca="1" si="8"/>
        <v>#VALUE!</v>
      </c>
      <c r="Q9" t="s">
        <v>14</v>
      </c>
      <c r="R9" t="s">
        <v>21</v>
      </c>
      <c r="S9" t="s">
        <v>43</v>
      </c>
      <c r="T9" t="str">
        <f t="shared" si="9"/>
        <v>A New Hope</v>
      </c>
    </row>
    <row r="10" spans="1:20" x14ac:dyDescent="0.6">
      <c r="A10" t="s">
        <v>44</v>
      </c>
      <c r="B10">
        <v>183</v>
      </c>
      <c r="C10" s="7">
        <f t="shared" si="1"/>
        <v>72</v>
      </c>
      <c r="D10">
        <f t="shared" si="2"/>
        <v>1.83</v>
      </c>
      <c r="E10">
        <v>84</v>
      </c>
      <c r="F10" s="7">
        <f t="shared" si="3"/>
        <v>185.25</v>
      </c>
      <c r="G10">
        <f t="shared" si="0"/>
        <v>25.082863029651524</v>
      </c>
      <c r="H10">
        <f t="shared" si="4"/>
        <v>25</v>
      </c>
      <c r="I10">
        <f t="shared" si="5"/>
        <v>-8.2472026501837838</v>
      </c>
      <c r="J10" t="s">
        <v>45</v>
      </c>
      <c r="K10" t="s">
        <v>34</v>
      </c>
      <c r="L10" t="s">
        <v>33</v>
      </c>
      <c r="M10">
        <v>24</v>
      </c>
      <c r="N10" s="7" t="b">
        <f t="shared" si="6"/>
        <v>1</v>
      </c>
      <c r="O10">
        <f t="shared" si="7"/>
        <v>8760</v>
      </c>
      <c r="P10" s="3">
        <f t="shared" ca="1" si="8"/>
        <v>37278</v>
      </c>
      <c r="Q10" t="s">
        <v>14</v>
      </c>
      <c r="R10" t="s">
        <v>15</v>
      </c>
      <c r="S10" t="s">
        <v>43</v>
      </c>
      <c r="T10" t="str">
        <f t="shared" si="9"/>
        <v>A New Hope</v>
      </c>
    </row>
    <row r="11" spans="1:20" x14ac:dyDescent="0.6">
      <c r="A11" t="s">
        <v>46</v>
      </c>
      <c r="B11">
        <v>182</v>
      </c>
      <c r="C11" s="7">
        <f t="shared" si="1"/>
        <v>71.5</v>
      </c>
      <c r="D11">
        <f t="shared" si="2"/>
        <v>1.82</v>
      </c>
      <c r="E11">
        <v>77</v>
      </c>
      <c r="F11" s="7">
        <f t="shared" si="3"/>
        <v>169.75</v>
      </c>
      <c r="G11">
        <f t="shared" si="0"/>
        <v>23.245984784446321</v>
      </c>
      <c r="H11">
        <f t="shared" si="4"/>
        <v>39</v>
      </c>
      <c r="I11">
        <f t="shared" si="5"/>
        <v>-10.084080895388986</v>
      </c>
      <c r="J11" t="s">
        <v>47</v>
      </c>
      <c r="K11" t="s">
        <v>12</v>
      </c>
      <c r="L11" t="s">
        <v>48</v>
      </c>
      <c r="M11">
        <v>57</v>
      </c>
      <c r="N11" s="7" t="b">
        <f t="shared" si="6"/>
        <v>1</v>
      </c>
      <c r="O11">
        <f t="shared" si="7"/>
        <v>20805</v>
      </c>
      <c r="P11" s="3">
        <f t="shared" ca="1" si="8"/>
        <v>25233</v>
      </c>
      <c r="Q11" t="s">
        <v>49</v>
      </c>
      <c r="R11" t="s">
        <v>15</v>
      </c>
      <c r="S11" t="s">
        <v>22</v>
      </c>
      <c r="T11" t="str">
        <f t="shared" si="9"/>
        <v xml:space="preserve">Attack of the Clones </v>
      </c>
    </row>
    <row r="12" spans="1:20" x14ac:dyDescent="0.6">
      <c r="A12" t="s">
        <v>50</v>
      </c>
      <c r="B12">
        <v>188</v>
      </c>
      <c r="C12" s="7">
        <f t="shared" si="1"/>
        <v>74</v>
      </c>
      <c r="D12">
        <f t="shared" si="2"/>
        <v>1.88</v>
      </c>
      <c r="E12">
        <v>84</v>
      </c>
      <c r="F12" s="7">
        <f t="shared" si="3"/>
        <v>185.25</v>
      </c>
      <c r="G12">
        <f t="shared" si="0"/>
        <v>23.766410140334994</v>
      </c>
      <c r="H12">
        <f t="shared" si="4"/>
        <v>35</v>
      </c>
      <c r="I12">
        <f t="shared" si="5"/>
        <v>-9.5636555395003136</v>
      </c>
      <c r="J12" t="s">
        <v>11</v>
      </c>
      <c r="K12" t="s">
        <v>12</v>
      </c>
      <c r="L12" t="s">
        <v>13</v>
      </c>
      <c r="M12">
        <v>41.9</v>
      </c>
      <c r="N12" s="7" t="b">
        <f t="shared" si="6"/>
        <v>1</v>
      </c>
      <c r="O12">
        <f t="shared" si="7"/>
        <v>15293.5</v>
      </c>
      <c r="P12" s="3">
        <f t="shared" ca="1" si="8"/>
        <v>30744.5</v>
      </c>
      <c r="Q12" t="s">
        <v>14</v>
      </c>
      <c r="R12" t="s">
        <v>15</v>
      </c>
      <c r="S12" t="s">
        <v>51</v>
      </c>
      <c r="T12" t="str">
        <f t="shared" si="9"/>
        <v xml:space="preserve">Attack of the Clones </v>
      </c>
    </row>
    <row r="13" spans="1:20" x14ac:dyDescent="0.6">
      <c r="A13" t="s">
        <v>52</v>
      </c>
      <c r="B13">
        <v>180</v>
      </c>
      <c r="C13" s="7">
        <f t="shared" si="1"/>
        <v>70.5</v>
      </c>
      <c r="D13">
        <f t="shared" si="2"/>
        <v>1.8</v>
      </c>
      <c r="E13" t="s">
        <v>18</v>
      </c>
      <c r="F13" s="7" t="e">
        <f t="shared" si="3"/>
        <v>#VALUE!</v>
      </c>
      <c r="G13">
        <f t="shared" si="0"/>
        <v>0</v>
      </c>
      <c r="H13">
        <f t="shared" si="4"/>
        <v>60</v>
      </c>
      <c r="I13">
        <f t="shared" si="5"/>
        <v>-33.330065679835307</v>
      </c>
      <c r="J13" t="s">
        <v>53</v>
      </c>
      <c r="K13" t="s">
        <v>12</v>
      </c>
      <c r="L13" t="s">
        <v>13</v>
      </c>
      <c r="M13">
        <v>64</v>
      </c>
      <c r="N13" s="7" t="b">
        <f t="shared" si="6"/>
        <v>1</v>
      </c>
      <c r="O13">
        <f t="shared" si="7"/>
        <v>23360</v>
      </c>
      <c r="P13" s="3">
        <f t="shared" ca="1" si="8"/>
        <v>22678</v>
      </c>
      <c r="Q13" t="s">
        <v>54</v>
      </c>
      <c r="R13" t="s">
        <v>15</v>
      </c>
      <c r="S13" t="s">
        <v>55</v>
      </c>
      <c r="T13" t="str">
        <f t="shared" si="9"/>
        <v xml:space="preserve">Revenge of the Sith </v>
      </c>
    </row>
    <row r="14" spans="1:20" x14ac:dyDescent="0.6">
      <c r="A14" t="s">
        <v>56</v>
      </c>
      <c r="B14">
        <v>228</v>
      </c>
      <c r="C14" s="7">
        <f t="shared" si="1"/>
        <v>89.5</v>
      </c>
      <c r="D14">
        <f t="shared" si="2"/>
        <v>2.2799999999999998</v>
      </c>
      <c r="E14">
        <v>112</v>
      </c>
      <c r="F14" s="7">
        <f t="shared" si="3"/>
        <v>247</v>
      </c>
      <c r="G14">
        <f t="shared" si="0"/>
        <v>21.545090797168363</v>
      </c>
      <c r="H14">
        <f t="shared" si="4"/>
        <v>44</v>
      </c>
      <c r="I14">
        <f t="shared" si="5"/>
        <v>-11.784974882666944</v>
      </c>
      <c r="J14" t="s">
        <v>33</v>
      </c>
      <c r="K14" t="s">
        <v>57</v>
      </c>
      <c r="L14" t="s">
        <v>13</v>
      </c>
      <c r="M14">
        <v>200</v>
      </c>
      <c r="N14" s="7" t="b">
        <f t="shared" si="6"/>
        <v>1</v>
      </c>
      <c r="O14">
        <f t="shared" si="7"/>
        <v>73000</v>
      </c>
      <c r="P14" s="3">
        <f t="shared" ca="1" si="8"/>
        <v>-26962</v>
      </c>
      <c r="Q14" t="s">
        <v>58</v>
      </c>
      <c r="R14" t="s">
        <v>59</v>
      </c>
      <c r="S14" t="s">
        <v>36</v>
      </c>
      <c r="T14" t="str">
        <f t="shared" si="9"/>
        <v xml:space="preserve">Revenge of the Sith </v>
      </c>
    </row>
    <row r="15" spans="1:20" x14ac:dyDescent="0.6">
      <c r="A15" t="s">
        <v>60</v>
      </c>
      <c r="B15">
        <v>180</v>
      </c>
      <c r="C15" s="7">
        <f t="shared" si="1"/>
        <v>70.5</v>
      </c>
      <c r="D15">
        <f t="shared" si="2"/>
        <v>1.8</v>
      </c>
      <c r="E15">
        <v>80</v>
      </c>
      <c r="F15" s="7">
        <f t="shared" si="3"/>
        <v>176.25</v>
      </c>
      <c r="G15">
        <f t="shared" si="0"/>
        <v>24.691358024691358</v>
      </c>
      <c r="H15">
        <f t="shared" si="4"/>
        <v>29</v>
      </c>
      <c r="I15">
        <f t="shared" si="5"/>
        <v>-8.6387076551439499</v>
      </c>
      <c r="J15" t="s">
        <v>33</v>
      </c>
      <c r="K15" t="s">
        <v>12</v>
      </c>
      <c r="L15" t="s">
        <v>33</v>
      </c>
      <c r="M15">
        <v>29</v>
      </c>
      <c r="N15" s="7" t="b">
        <f t="shared" si="6"/>
        <v>1</v>
      </c>
      <c r="O15">
        <f t="shared" si="7"/>
        <v>10585</v>
      </c>
      <c r="P15" s="3">
        <f t="shared" ca="1" si="8"/>
        <v>35453</v>
      </c>
      <c r="Q15" t="s">
        <v>61</v>
      </c>
      <c r="R15" t="s">
        <v>15</v>
      </c>
      <c r="S15" t="s">
        <v>62</v>
      </c>
      <c r="T15" t="str">
        <f t="shared" si="9"/>
        <v xml:space="preserve">Return of the Jedi </v>
      </c>
    </row>
    <row r="16" spans="1:20" x14ac:dyDescent="0.6">
      <c r="A16" t="s">
        <v>63</v>
      </c>
      <c r="B16">
        <v>173</v>
      </c>
      <c r="C16" s="7">
        <f t="shared" si="1"/>
        <v>68</v>
      </c>
      <c r="D16">
        <f t="shared" si="2"/>
        <v>1.73</v>
      </c>
      <c r="E16">
        <v>74</v>
      </c>
      <c r="F16" s="7">
        <f t="shared" si="3"/>
        <v>163.25</v>
      </c>
      <c r="G16">
        <f t="shared" si="0"/>
        <v>24.725182932941294</v>
      </c>
      <c r="H16">
        <f t="shared" si="4"/>
        <v>28</v>
      </c>
      <c r="I16">
        <f t="shared" si="5"/>
        <v>-8.6048827468940132</v>
      </c>
      <c r="J16" t="s">
        <v>18</v>
      </c>
      <c r="K16" t="s">
        <v>64</v>
      </c>
      <c r="L16" t="s">
        <v>45</v>
      </c>
      <c r="M16">
        <v>44</v>
      </c>
      <c r="N16" s="7" t="b">
        <f t="shared" si="6"/>
        <v>1</v>
      </c>
      <c r="O16">
        <f t="shared" si="7"/>
        <v>16060</v>
      </c>
      <c r="P16" s="3">
        <f t="shared" ca="1" si="8"/>
        <v>29978</v>
      </c>
      <c r="Q16" t="s">
        <v>65</v>
      </c>
      <c r="R16" t="s">
        <v>66</v>
      </c>
      <c r="S16" t="s">
        <v>43</v>
      </c>
      <c r="T16" t="str">
        <f t="shared" si="9"/>
        <v>A New Hope</v>
      </c>
    </row>
    <row r="17" spans="1:20" x14ac:dyDescent="0.6">
      <c r="A17" t="s">
        <v>67</v>
      </c>
      <c r="B17">
        <v>175</v>
      </c>
      <c r="C17" s="7">
        <f t="shared" si="1"/>
        <v>68.5</v>
      </c>
      <c r="D17">
        <f t="shared" si="2"/>
        <v>1.75</v>
      </c>
      <c r="E17">
        <v>1358</v>
      </c>
      <c r="F17" s="8">
        <f t="shared" si="3"/>
        <v>2994</v>
      </c>
      <c r="G17">
        <f t="shared" si="0"/>
        <v>443.42857142857144</v>
      </c>
      <c r="H17">
        <f t="shared" si="4"/>
        <v>1</v>
      </c>
      <c r="I17">
        <f t="shared" si="5"/>
        <v>410.09850574873616</v>
      </c>
      <c r="J17" t="s">
        <v>18</v>
      </c>
      <c r="K17" t="s">
        <v>68</v>
      </c>
      <c r="L17" t="s">
        <v>69</v>
      </c>
      <c r="M17">
        <v>600</v>
      </c>
      <c r="N17" s="7" t="b">
        <f t="shared" si="6"/>
        <v>1</v>
      </c>
      <c r="O17">
        <f t="shared" si="7"/>
        <v>219000</v>
      </c>
      <c r="P17" s="3">
        <f t="shared" ca="1" si="8"/>
        <v>-172962</v>
      </c>
      <c r="Q17" t="s">
        <v>70</v>
      </c>
      <c r="R17" t="s">
        <v>71</v>
      </c>
      <c r="S17" t="s">
        <v>72</v>
      </c>
      <c r="T17" t="str">
        <f t="shared" si="9"/>
        <v xml:space="preserve">The Phantom Menace </v>
      </c>
    </row>
    <row r="18" spans="1:20" x14ac:dyDescent="0.6">
      <c r="A18" t="s">
        <v>73</v>
      </c>
      <c r="B18">
        <v>170</v>
      </c>
      <c r="C18" s="7">
        <f t="shared" si="1"/>
        <v>66.5</v>
      </c>
      <c r="D18">
        <f t="shared" si="2"/>
        <v>1.7</v>
      </c>
      <c r="E18">
        <v>77</v>
      </c>
      <c r="F18" s="7">
        <f t="shared" si="3"/>
        <v>169.75</v>
      </c>
      <c r="G18">
        <f t="shared" si="0"/>
        <v>26.643598615916957</v>
      </c>
      <c r="H18">
        <f t="shared" si="4"/>
        <v>15</v>
      </c>
      <c r="I18">
        <f t="shared" si="5"/>
        <v>-6.6864670639183501</v>
      </c>
      <c r="J18" t="s">
        <v>33</v>
      </c>
      <c r="K18" t="s">
        <v>12</v>
      </c>
      <c r="L18" t="s">
        <v>74</v>
      </c>
      <c r="M18">
        <v>21</v>
      </c>
      <c r="N18" s="7" t="b">
        <f t="shared" si="6"/>
        <v>1</v>
      </c>
      <c r="O18">
        <f t="shared" si="7"/>
        <v>7665</v>
      </c>
      <c r="P18" s="3">
        <f t="shared" ca="1" si="8"/>
        <v>38373</v>
      </c>
      <c r="Q18" t="s">
        <v>61</v>
      </c>
      <c r="R18" t="s">
        <v>15</v>
      </c>
      <c r="S18" t="s">
        <v>75</v>
      </c>
      <c r="T18" t="str">
        <f t="shared" si="9"/>
        <v xml:space="preserve">Return of the Jedi </v>
      </c>
    </row>
    <row r="19" spans="1:20" x14ac:dyDescent="0.6">
      <c r="A19" t="s">
        <v>76</v>
      </c>
      <c r="B19">
        <v>180</v>
      </c>
      <c r="C19" s="7">
        <f t="shared" si="1"/>
        <v>70.5</v>
      </c>
      <c r="D19">
        <f t="shared" si="2"/>
        <v>1.8</v>
      </c>
      <c r="E19">
        <v>110</v>
      </c>
      <c r="F19" s="7">
        <f t="shared" si="3"/>
        <v>242.5</v>
      </c>
      <c r="G19">
        <f t="shared" si="0"/>
        <v>33.950617283950614</v>
      </c>
      <c r="H19">
        <f t="shared" si="4"/>
        <v>9</v>
      </c>
      <c r="I19">
        <f t="shared" si="5"/>
        <v>0.62055160411530608</v>
      </c>
      <c r="J19" t="s">
        <v>33</v>
      </c>
      <c r="K19" t="s">
        <v>12</v>
      </c>
      <c r="L19" t="s">
        <v>13</v>
      </c>
      <c r="M19" t="s">
        <v>18</v>
      </c>
      <c r="N19" s="7" t="b">
        <f t="shared" si="6"/>
        <v>0</v>
      </c>
      <c r="O19" t="e">
        <f t="shared" si="7"/>
        <v>#VALUE!</v>
      </c>
      <c r="P19" s="3" t="e">
        <f t="shared" ca="1" si="8"/>
        <v>#VALUE!</v>
      </c>
      <c r="Q19" t="s">
        <v>77</v>
      </c>
      <c r="R19" t="s">
        <v>15</v>
      </c>
      <c r="S19" t="s">
        <v>43</v>
      </c>
      <c r="T19" t="str">
        <f t="shared" si="9"/>
        <v>A New Hope</v>
      </c>
    </row>
    <row r="20" spans="1:20" x14ac:dyDescent="0.6">
      <c r="A20" t="s">
        <v>78</v>
      </c>
      <c r="B20">
        <v>66</v>
      </c>
      <c r="C20" s="7">
        <f t="shared" si="1"/>
        <v>25.5</v>
      </c>
      <c r="D20">
        <f t="shared" si="2"/>
        <v>0.66</v>
      </c>
      <c r="E20">
        <v>17</v>
      </c>
      <c r="F20" s="7">
        <f t="shared" si="3"/>
        <v>37.5</v>
      </c>
      <c r="G20">
        <f t="shared" si="0"/>
        <v>39.026629935720841</v>
      </c>
      <c r="H20">
        <f t="shared" si="4"/>
        <v>3</v>
      </c>
      <c r="I20">
        <f t="shared" si="5"/>
        <v>5.6965642558855336</v>
      </c>
      <c r="J20" t="s">
        <v>30</v>
      </c>
      <c r="K20" t="s">
        <v>64</v>
      </c>
      <c r="L20" t="s">
        <v>33</v>
      </c>
      <c r="M20">
        <v>896</v>
      </c>
      <c r="N20" s="7" t="b">
        <f t="shared" si="6"/>
        <v>1</v>
      </c>
      <c r="O20">
        <f t="shared" si="7"/>
        <v>327040</v>
      </c>
      <c r="P20" s="3">
        <f t="shared" ca="1" si="8"/>
        <v>-281002</v>
      </c>
      <c r="Q20" t="s">
        <v>18</v>
      </c>
      <c r="R20" t="s">
        <v>79</v>
      </c>
      <c r="S20" t="s">
        <v>80</v>
      </c>
      <c r="T20" t="str">
        <f t="shared" si="9"/>
        <v xml:space="preserve">Attack of the Clones </v>
      </c>
    </row>
    <row r="21" spans="1:20" x14ac:dyDescent="0.6">
      <c r="A21" t="s">
        <v>81</v>
      </c>
      <c r="B21">
        <v>170</v>
      </c>
      <c r="C21" s="7">
        <f t="shared" si="1"/>
        <v>66.5</v>
      </c>
      <c r="D21">
        <f t="shared" si="2"/>
        <v>1.7</v>
      </c>
      <c r="E21">
        <v>75</v>
      </c>
      <c r="F21" s="7">
        <f t="shared" si="3"/>
        <v>165.25</v>
      </c>
      <c r="G21">
        <f t="shared" si="0"/>
        <v>25.95155709342561</v>
      </c>
      <c r="H21">
        <f t="shared" si="4"/>
        <v>20</v>
      </c>
      <c r="I21">
        <f t="shared" si="5"/>
        <v>-7.3785085864096978</v>
      </c>
      <c r="J21" t="s">
        <v>82</v>
      </c>
      <c r="K21" t="s">
        <v>83</v>
      </c>
      <c r="L21" t="s">
        <v>20</v>
      </c>
      <c r="M21">
        <v>82</v>
      </c>
      <c r="N21" s="7" t="b">
        <f t="shared" si="6"/>
        <v>1</v>
      </c>
      <c r="O21">
        <f t="shared" si="7"/>
        <v>29930</v>
      </c>
      <c r="P21" s="3">
        <f t="shared" ca="1" si="8"/>
        <v>16108</v>
      </c>
      <c r="Q21" t="s">
        <v>26</v>
      </c>
      <c r="R21" t="s">
        <v>15</v>
      </c>
      <c r="S21" t="s">
        <v>84</v>
      </c>
      <c r="T21" t="str">
        <f t="shared" si="9"/>
        <v xml:space="preserve"> Attack of the Clones </v>
      </c>
    </row>
    <row r="22" spans="1:20" x14ac:dyDescent="0.6">
      <c r="A22" t="s">
        <v>85</v>
      </c>
      <c r="B22">
        <v>183</v>
      </c>
      <c r="C22" s="7">
        <f t="shared" si="1"/>
        <v>72</v>
      </c>
      <c r="D22">
        <f t="shared" si="2"/>
        <v>1.83</v>
      </c>
      <c r="E22">
        <v>78.2</v>
      </c>
      <c r="F22" s="7">
        <f t="shared" si="3"/>
        <v>172.5</v>
      </c>
      <c r="G22">
        <f t="shared" si="0"/>
        <v>23.350951058556539</v>
      </c>
      <c r="H22">
        <f t="shared" si="4"/>
        <v>38</v>
      </c>
      <c r="I22">
        <f t="shared" si="5"/>
        <v>-9.979114621278768</v>
      </c>
      <c r="J22" t="s">
        <v>45</v>
      </c>
      <c r="K22" t="s">
        <v>12</v>
      </c>
      <c r="L22" t="s">
        <v>33</v>
      </c>
      <c r="M22">
        <v>31.5</v>
      </c>
      <c r="N22" s="7" t="b">
        <f t="shared" si="6"/>
        <v>1</v>
      </c>
      <c r="O22">
        <f t="shared" si="7"/>
        <v>11497.5</v>
      </c>
      <c r="P22" s="3">
        <f t="shared" ca="1" si="8"/>
        <v>34540.5</v>
      </c>
      <c r="Q22" t="s">
        <v>86</v>
      </c>
      <c r="R22" t="s">
        <v>15</v>
      </c>
      <c r="S22" t="s">
        <v>87</v>
      </c>
      <c r="T22" t="str">
        <f t="shared" si="9"/>
        <v xml:space="preserve">Attack of the Clones </v>
      </c>
    </row>
    <row r="23" spans="1:20" x14ac:dyDescent="0.6">
      <c r="A23" t="s">
        <v>88</v>
      </c>
      <c r="B23">
        <v>200</v>
      </c>
      <c r="C23" s="7">
        <f t="shared" si="1"/>
        <v>78.5</v>
      </c>
      <c r="D23">
        <f t="shared" si="2"/>
        <v>2</v>
      </c>
      <c r="E23">
        <v>140</v>
      </c>
      <c r="F23" s="7">
        <f t="shared" si="3"/>
        <v>308.75</v>
      </c>
      <c r="G23">
        <f t="shared" si="0"/>
        <v>35</v>
      </c>
      <c r="H23">
        <f t="shared" si="4"/>
        <v>5</v>
      </c>
      <c r="I23">
        <f t="shared" si="5"/>
        <v>1.6699343201646926</v>
      </c>
      <c r="J23" t="s">
        <v>29</v>
      </c>
      <c r="K23" t="s">
        <v>89</v>
      </c>
      <c r="L23" t="s">
        <v>25</v>
      </c>
      <c r="M23">
        <v>15</v>
      </c>
      <c r="N23" s="7" t="b">
        <f t="shared" si="6"/>
        <v>1</v>
      </c>
      <c r="O23">
        <f t="shared" si="7"/>
        <v>5475</v>
      </c>
      <c r="P23" s="3">
        <f t="shared" ca="1" si="8"/>
        <v>40563</v>
      </c>
      <c r="Q23" t="s">
        <v>18</v>
      </c>
      <c r="R23" t="s">
        <v>21</v>
      </c>
      <c r="S23" t="s">
        <v>90</v>
      </c>
      <c r="T23" t="str">
        <f t="shared" si="9"/>
        <v>The Empire Strikes Back</v>
      </c>
    </row>
    <row r="24" spans="1:20" x14ac:dyDescent="0.6">
      <c r="A24" t="s">
        <v>91</v>
      </c>
      <c r="B24">
        <v>190</v>
      </c>
      <c r="C24" s="7">
        <f t="shared" si="1"/>
        <v>74.5</v>
      </c>
      <c r="D24">
        <f t="shared" si="2"/>
        <v>1.9</v>
      </c>
      <c r="E24">
        <v>113</v>
      </c>
      <c r="F24" s="7">
        <f t="shared" si="3"/>
        <v>249</v>
      </c>
      <c r="G24">
        <f t="shared" si="0"/>
        <v>31.301939058171747</v>
      </c>
      <c r="H24">
        <f t="shared" si="4"/>
        <v>12</v>
      </c>
      <c r="I24">
        <f t="shared" si="5"/>
        <v>-2.0281266216635601</v>
      </c>
      <c r="J24" t="s">
        <v>29</v>
      </c>
      <c r="K24" t="s">
        <v>64</v>
      </c>
      <c r="L24" t="s">
        <v>25</v>
      </c>
      <c r="M24">
        <v>53</v>
      </c>
      <c r="N24" s="7" t="b">
        <f t="shared" si="6"/>
        <v>1</v>
      </c>
      <c r="O24">
        <f t="shared" si="7"/>
        <v>19345</v>
      </c>
      <c r="P24" s="3">
        <f t="shared" ca="1" si="8"/>
        <v>26693</v>
      </c>
      <c r="Q24" t="s">
        <v>92</v>
      </c>
      <c r="R24" t="s">
        <v>93</v>
      </c>
      <c r="S24" t="s">
        <v>90</v>
      </c>
      <c r="T24" t="str">
        <f t="shared" si="9"/>
        <v>The Empire Strikes Back</v>
      </c>
    </row>
    <row r="25" spans="1:20" x14ac:dyDescent="0.6">
      <c r="A25" t="s">
        <v>94</v>
      </c>
      <c r="B25">
        <v>177</v>
      </c>
      <c r="C25" s="7">
        <f t="shared" si="1"/>
        <v>69.5</v>
      </c>
      <c r="D25">
        <f t="shared" si="2"/>
        <v>1.77</v>
      </c>
      <c r="E25">
        <v>79</v>
      </c>
      <c r="F25" s="7">
        <f t="shared" si="3"/>
        <v>174.25</v>
      </c>
      <c r="G25">
        <f t="shared" si="0"/>
        <v>25.216253311628201</v>
      </c>
      <c r="H25">
        <f t="shared" si="4"/>
        <v>24</v>
      </c>
      <c r="I25">
        <f t="shared" si="5"/>
        <v>-8.1138123682071068</v>
      </c>
      <c r="J25" t="s">
        <v>45</v>
      </c>
      <c r="K25" t="s">
        <v>95</v>
      </c>
      <c r="L25" t="s">
        <v>33</v>
      </c>
      <c r="M25">
        <v>31</v>
      </c>
      <c r="N25" s="7" t="b">
        <f t="shared" si="6"/>
        <v>1</v>
      </c>
      <c r="O25">
        <f t="shared" si="7"/>
        <v>11315</v>
      </c>
      <c r="P25" s="3">
        <f t="shared" ca="1" si="8"/>
        <v>34723</v>
      </c>
      <c r="Q25" t="s">
        <v>96</v>
      </c>
      <c r="R25" t="s">
        <v>15</v>
      </c>
      <c r="S25" t="s">
        <v>97</v>
      </c>
      <c r="T25" t="str">
        <f t="shared" si="9"/>
        <v xml:space="preserve">Return of the Jedi </v>
      </c>
    </row>
    <row r="26" spans="1:20" x14ac:dyDescent="0.6">
      <c r="A26" t="s">
        <v>98</v>
      </c>
      <c r="B26">
        <v>175</v>
      </c>
      <c r="C26" s="7">
        <f t="shared" si="1"/>
        <v>68.5</v>
      </c>
      <c r="D26">
        <f t="shared" si="2"/>
        <v>1.75</v>
      </c>
      <c r="E26">
        <v>79</v>
      </c>
      <c r="F26" s="7">
        <f t="shared" si="3"/>
        <v>174.25</v>
      </c>
      <c r="G26">
        <f t="shared" si="0"/>
        <v>25.795918367346939</v>
      </c>
      <c r="H26">
        <f t="shared" si="4"/>
        <v>22</v>
      </c>
      <c r="I26">
        <f t="shared" si="5"/>
        <v>-7.5341473124883684</v>
      </c>
      <c r="J26" t="s">
        <v>29</v>
      </c>
      <c r="K26" t="s">
        <v>34</v>
      </c>
      <c r="L26" t="s">
        <v>13</v>
      </c>
      <c r="M26">
        <v>37</v>
      </c>
      <c r="N26" s="7" t="b">
        <f t="shared" si="6"/>
        <v>1</v>
      </c>
      <c r="O26">
        <f t="shared" si="7"/>
        <v>13505</v>
      </c>
      <c r="P26" s="3">
        <f t="shared" ca="1" si="8"/>
        <v>32533</v>
      </c>
      <c r="Q26" t="s">
        <v>99</v>
      </c>
      <c r="R26" t="s">
        <v>15</v>
      </c>
      <c r="S26" t="s">
        <v>90</v>
      </c>
      <c r="T26" t="str">
        <f t="shared" si="9"/>
        <v>The Empire Strikes Back</v>
      </c>
    </row>
    <row r="27" spans="1:20" x14ac:dyDescent="0.6">
      <c r="A27" t="s">
        <v>100</v>
      </c>
      <c r="B27">
        <v>180</v>
      </c>
      <c r="C27" s="7">
        <f t="shared" si="1"/>
        <v>70.5</v>
      </c>
      <c r="D27">
        <f t="shared" si="2"/>
        <v>1.8</v>
      </c>
      <c r="E27">
        <v>83</v>
      </c>
      <c r="F27" s="7">
        <f t="shared" si="3"/>
        <v>183</v>
      </c>
      <c r="G27">
        <f t="shared" si="0"/>
        <v>25.617283950617281</v>
      </c>
      <c r="H27">
        <f t="shared" si="4"/>
        <v>23</v>
      </c>
      <c r="I27">
        <f t="shared" si="5"/>
        <v>-7.7127817292180261</v>
      </c>
      <c r="J27" t="s">
        <v>29</v>
      </c>
      <c r="K27" t="s">
        <v>101</v>
      </c>
      <c r="L27" t="s">
        <v>69</v>
      </c>
      <c r="M27">
        <v>41</v>
      </c>
      <c r="N27" s="7" t="b">
        <f t="shared" si="6"/>
        <v>1</v>
      </c>
      <c r="O27">
        <f t="shared" si="7"/>
        <v>14965</v>
      </c>
      <c r="P27" s="3">
        <f t="shared" ca="1" si="8"/>
        <v>31073</v>
      </c>
      <c r="Q27" t="s">
        <v>102</v>
      </c>
      <c r="R27" t="s">
        <v>103</v>
      </c>
      <c r="S27" t="s">
        <v>104</v>
      </c>
      <c r="T27" t="str">
        <f t="shared" si="9"/>
        <v xml:space="preserve">Return of the Jedi </v>
      </c>
    </row>
    <row r="28" spans="1:20" x14ac:dyDescent="0.6">
      <c r="A28" t="s">
        <v>105</v>
      </c>
      <c r="B28">
        <v>150</v>
      </c>
      <c r="C28" s="7">
        <f t="shared" si="1"/>
        <v>59</v>
      </c>
      <c r="D28">
        <f t="shared" si="2"/>
        <v>1.5</v>
      </c>
      <c r="E28" t="s">
        <v>18</v>
      </c>
      <c r="F28" s="7" t="e">
        <f t="shared" si="3"/>
        <v>#VALUE!</v>
      </c>
      <c r="G28">
        <f t="shared" si="0"/>
        <v>0</v>
      </c>
      <c r="H28">
        <f t="shared" si="4"/>
        <v>60</v>
      </c>
      <c r="I28">
        <f t="shared" si="5"/>
        <v>-33.330065679835307</v>
      </c>
      <c r="J28" t="s">
        <v>106</v>
      </c>
      <c r="K28" t="s">
        <v>12</v>
      </c>
      <c r="L28" t="s">
        <v>13</v>
      </c>
      <c r="M28">
        <v>48</v>
      </c>
      <c r="N28" s="7" t="b">
        <f t="shared" si="6"/>
        <v>1</v>
      </c>
      <c r="O28">
        <f t="shared" si="7"/>
        <v>17520</v>
      </c>
      <c r="P28" s="3">
        <f t="shared" ca="1" si="8"/>
        <v>28518</v>
      </c>
      <c r="Q28" t="s">
        <v>107</v>
      </c>
      <c r="R28" t="s">
        <v>15</v>
      </c>
      <c r="S28" t="s">
        <v>108</v>
      </c>
      <c r="T28" t="str">
        <f t="shared" si="9"/>
        <v>Return of the Jedi</v>
      </c>
    </row>
    <row r="29" spans="1:20" x14ac:dyDescent="0.6">
      <c r="A29" t="s">
        <v>109</v>
      </c>
      <c r="B29" t="s">
        <v>18</v>
      </c>
      <c r="C29" s="7" t="e">
        <f t="shared" si="1"/>
        <v>#VALUE!</v>
      </c>
      <c r="D29" t="e">
        <f t="shared" si="2"/>
        <v>#VALUE!</v>
      </c>
      <c r="E29" t="s">
        <v>18</v>
      </c>
      <c r="F29" s="7" t="e">
        <f t="shared" si="3"/>
        <v>#VALUE!</v>
      </c>
      <c r="G29">
        <f t="shared" si="0"/>
        <v>0</v>
      </c>
      <c r="H29">
        <f t="shared" si="4"/>
        <v>60</v>
      </c>
      <c r="I29">
        <f t="shared" si="5"/>
        <v>-33.330065679835307</v>
      </c>
      <c r="J29" t="s">
        <v>33</v>
      </c>
      <c r="K29" t="s">
        <v>12</v>
      </c>
      <c r="L29" t="s">
        <v>33</v>
      </c>
      <c r="M29" t="s">
        <v>18</v>
      </c>
      <c r="N29" s="7" t="b">
        <f t="shared" si="6"/>
        <v>0</v>
      </c>
      <c r="O29" t="e">
        <f t="shared" si="7"/>
        <v>#VALUE!</v>
      </c>
      <c r="P29" s="3" t="e">
        <f t="shared" ca="1" si="8"/>
        <v>#VALUE!</v>
      </c>
      <c r="Q29" t="s">
        <v>18</v>
      </c>
      <c r="R29" t="s">
        <v>15</v>
      </c>
      <c r="S29" t="s">
        <v>108</v>
      </c>
      <c r="T29" t="str">
        <f t="shared" si="9"/>
        <v>Return of the Jedi</v>
      </c>
    </row>
    <row r="30" spans="1:20" x14ac:dyDescent="0.6">
      <c r="A30" t="s">
        <v>110</v>
      </c>
      <c r="B30">
        <v>88</v>
      </c>
      <c r="C30" s="7">
        <f t="shared" si="1"/>
        <v>34.5</v>
      </c>
      <c r="D30">
        <f t="shared" si="2"/>
        <v>0.88</v>
      </c>
      <c r="E30">
        <v>20</v>
      </c>
      <c r="F30" s="7">
        <f t="shared" si="3"/>
        <v>44</v>
      </c>
      <c r="G30">
        <f t="shared" si="0"/>
        <v>25.826446280991735</v>
      </c>
      <c r="H30">
        <f t="shared" si="4"/>
        <v>21</v>
      </c>
      <c r="I30">
        <f t="shared" si="5"/>
        <v>-7.503619398843572</v>
      </c>
      <c r="J30" t="s">
        <v>33</v>
      </c>
      <c r="K30" t="s">
        <v>33</v>
      </c>
      <c r="L30" t="s">
        <v>33</v>
      </c>
      <c r="M30">
        <v>8</v>
      </c>
      <c r="N30" s="7" t="b">
        <f t="shared" si="6"/>
        <v>1</v>
      </c>
      <c r="O30">
        <f t="shared" si="7"/>
        <v>2920</v>
      </c>
      <c r="P30" s="3">
        <f t="shared" ca="1" si="8"/>
        <v>43118</v>
      </c>
      <c r="Q30" t="s">
        <v>111</v>
      </c>
      <c r="R30" t="s">
        <v>112</v>
      </c>
      <c r="S30" t="s">
        <v>108</v>
      </c>
      <c r="T30" t="str">
        <f t="shared" si="9"/>
        <v>Return of the Jedi</v>
      </c>
    </row>
    <row r="31" spans="1:20" x14ac:dyDescent="0.6">
      <c r="A31" t="s">
        <v>113</v>
      </c>
      <c r="B31">
        <v>160</v>
      </c>
      <c r="C31" s="7">
        <f t="shared" si="1"/>
        <v>62.5</v>
      </c>
      <c r="D31">
        <f t="shared" si="2"/>
        <v>1.6</v>
      </c>
      <c r="E31">
        <v>68</v>
      </c>
      <c r="F31" s="7">
        <f t="shared" si="3"/>
        <v>150</v>
      </c>
      <c r="G31">
        <f t="shared" si="0"/>
        <v>26.562499999999996</v>
      </c>
      <c r="H31">
        <f t="shared" si="4"/>
        <v>16</v>
      </c>
      <c r="I31">
        <f t="shared" si="5"/>
        <v>-6.767565679835311</v>
      </c>
      <c r="J31" t="s">
        <v>29</v>
      </c>
      <c r="K31" t="s">
        <v>82</v>
      </c>
      <c r="L31" t="s">
        <v>45</v>
      </c>
      <c r="M31" t="s">
        <v>18</v>
      </c>
      <c r="N31" s="7" t="b">
        <f t="shared" si="6"/>
        <v>0</v>
      </c>
      <c r="O31" t="e">
        <f t="shared" si="7"/>
        <v>#VALUE!</v>
      </c>
      <c r="P31" s="3" t="e">
        <f t="shared" ca="1" si="8"/>
        <v>#VALUE!</v>
      </c>
      <c r="Q31" t="s">
        <v>114</v>
      </c>
      <c r="R31" t="s">
        <v>115</v>
      </c>
      <c r="S31" t="s">
        <v>108</v>
      </c>
      <c r="T31" t="str">
        <f t="shared" si="9"/>
        <v>Return of the Jedi</v>
      </c>
    </row>
    <row r="32" spans="1:20" x14ac:dyDescent="0.6">
      <c r="A32" t="s">
        <v>116</v>
      </c>
      <c r="B32">
        <v>193</v>
      </c>
      <c r="C32" s="7">
        <f t="shared" si="1"/>
        <v>75.5</v>
      </c>
      <c r="D32">
        <f t="shared" si="2"/>
        <v>1.93</v>
      </c>
      <c r="E32">
        <v>89</v>
      </c>
      <c r="F32" s="7">
        <f t="shared" si="3"/>
        <v>196.25</v>
      </c>
      <c r="G32">
        <f t="shared" si="0"/>
        <v>23.893258879433006</v>
      </c>
      <c r="H32">
        <f t="shared" si="4"/>
        <v>33</v>
      </c>
      <c r="I32">
        <f t="shared" si="5"/>
        <v>-9.4368068004023016</v>
      </c>
      <c r="J32" t="s">
        <v>33</v>
      </c>
      <c r="K32" t="s">
        <v>12</v>
      </c>
      <c r="L32" t="s">
        <v>13</v>
      </c>
      <c r="M32">
        <v>92</v>
      </c>
      <c r="N32" s="7" t="b">
        <f t="shared" si="6"/>
        <v>1</v>
      </c>
      <c r="O32">
        <f t="shared" si="7"/>
        <v>33580</v>
      </c>
      <c r="P32" s="3">
        <f t="shared" ca="1" si="8"/>
        <v>12458</v>
      </c>
      <c r="Q32" t="s">
        <v>18</v>
      </c>
      <c r="R32" t="s">
        <v>15</v>
      </c>
      <c r="S32" t="s">
        <v>117</v>
      </c>
      <c r="T32" t="str">
        <f t="shared" si="9"/>
        <v>The Phantom Menace</v>
      </c>
    </row>
    <row r="33" spans="1:20" x14ac:dyDescent="0.6">
      <c r="A33" t="s">
        <v>118</v>
      </c>
      <c r="B33">
        <v>191</v>
      </c>
      <c r="C33" s="7">
        <f t="shared" si="1"/>
        <v>75</v>
      </c>
      <c r="D33">
        <f t="shared" si="2"/>
        <v>1.91</v>
      </c>
      <c r="E33">
        <v>90</v>
      </c>
      <c r="F33" s="7">
        <f t="shared" si="3"/>
        <v>198.5</v>
      </c>
      <c r="G33">
        <f t="shared" si="0"/>
        <v>24.670376360297141</v>
      </c>
      <c r="H33">
        <f t="shared" si="4"/>
        <v>30</v>
      </c>
      <c r="I33">
        <f t="shared" si="5"/>
        <v>-8.6596893195381668</v>
      </c>
      <c r="J33" t="s">
        <v>29</v>
      </c>
      <c r="K33" t="s">
        <v>119</v>
      </c>
      <c r="L33" t="s">
        <v>25</v>
      </c>
      <c r="M33" t="s">
        <v>18</v>
      </c>
      <c r="N33" s="7" t="b">
        <f t="shared" si="6"/>
        <v>0</v>
      </c>
      <c r="O33" t="e">
        <f t="shared" si="7"/>
        <v>#VALUE!</v>
      </c>
      <c r="P33" s="3" t="e">
        <f t="shared" ca="1" si="8"/>
        <v>#VALUE!</v>
      </c>
      <c r="Q33" t="s">
        <v>120</v>
      </c>
      <c r="R33" t="s">
        <v>121</v>
      </c>
      <c r="S33" t="s">
        <v>51</v>
      </c>
      <c r="T33" t="str">
        <f t="shared" si="9"/>
        <v xml:space="preserve">Attack of the Clones </v>
      </c>
    </row>
    <row r="34" spans="1:20" x14ac:dyDescent="0.6">
      <c r="A34" t="s">
        <v>122</v>
      </c>
      <c r="B34">
        <v>170</v>
      </c>
      <c r="C34" s="7">
        <f t="shared" si="1"/>
        <v>66.5</v>
      </c>
      <c r="D34">
        <f t="shared" si="2"/>
        <v>1.7</v>
      </c>
      <c r="E34" t="s">
        <v>18</v>
      </c>
      <c r="F34" s="7" t="e">
        <f t="shared" si="3"/>
        <v>#VALUE!</v>
      </c>
      <c r="G34">
        <f t="shared" ref="G34:G65" si="10">IF(OR(ISNUMBER(D34)=FALSE, ISNUMBER(E34)=FALSE),0,E34/(D34^2))</f>
        <v>0</v>
      </c>
      <c r="H34">
        <f t="shared" si="4"/>
        <v>60</v>
      </c>
      <c r="I34">
        <f t="shared" si="5"/>
        <v>-33.330065679835307</v>
      </c>
      <c r="J34" t="s">
        <v>11</v>
      </c>
      <c r="K34" t="s">
        <v>12</v>
      </c>
      <c r="L34" t="s">
        <v>13</v>
      </c>
      <c r="M34">
        <v>91</v>
      </c>
      <c r="N34" s="7" t="b">
        <f t="shared" si="6"/>
        <v>1</v>
      </c>
      <c r="O34">
        <f t="shared" si="7"/>
        <v>33215</v>
      </c>
      <c r="P34" s="3">
        <f t="shared" ca="1" si="8"/>
        <v>12823</v>
      </c>
      <c r="Q34" t="s">
        <v>123</v>
      </c>
      <c r="R34" t="s">
        <v>15</v>
      </c>
      <c r="S34" t="s">
        <v>117</v>
      </c>
      <c r="T34" t="str">
        <f t="shared" si="9"/>
        <v>The Phantom Menace</v>
      </c>
    </row>
    <row r="35" spans="1:20" x14ac:dyDescent="0.6">
      <c r="A35" t="s">
        <v>124</v>
      </c>
      <c r="B35">
        <v>196</v>
      </c>
      <c r="C35" s="7">
        <f t="shared" si="1"/>
        <v>77</v>
      </c>
      <c r="D35">
        <f t="shared" si="2"/>
        <v>1.96</v>
      </c>
      <c r="E35">
        <v>66</v>
      </c>
      <c r="F35" s="7">
        <f t="shared" si="3"/>
        <v>145.5</v>
      </c>
      <c r="G35">
        <f t="shared" si="10"/>
        <v>17.180341524364849</v>
      </c>
      <c r="H35">
        <f t="shared" si="4"/>
        <v>53</v>
      </c>
      <c r="I35">
        <f t="shared" si="5"/>
        <v>-16.149724155470459</v>
      </c>
      <c r="J35" t="s">
        <v>29</v>
      </c>
      <c r="K35" t="s">
        <v>69</v>
      </c>
      <c r="L35" t="s">
        <v>69</v>
      </c>
      <c r="M35">
        <v>52</v>
      </c>
      <c r="N35" s="7" t="b">
        <f t="shared" si="6"/>
        <v>1</v>
      </c>
      <c r="O35">
        <f t="shared" si="7"/>
        <v>18980</v>
      </c>
      <c r="P35" s="3">
        <f t="shared" ca="1" si="8"/>
        <v>27058</v>
      </c>
      <c r="Q35" t="s">
        <v>26</v>
      </c>
      <c r="R35" t="s">
        <v>125</v>
      </c>
      <c r="S35" t="s">
        <v>126</v>
      </c>
      <c r="T35" t="str">
        <f t="shared" si="9"/>
        <v xml:space="preserve">Attack of the Clones </v>
      </c>
    </row>
    <row r="36" spans="1:20" x14ac:dyDescent="0.6">
      <c r="A36" t="s">
        <v>127</v>
      </c>
      <c r="B36">
        <v>224</v>
      </c>
      <c r="C36" s="7">
        <f t="shared" si="1"/>
        <v>88</v>
      </c>
      <c r="D36">
        <f t="shared" si="2"/>
        <v>2.2400000000000002</v>
      </c>
      <c r="E36">
        <v>82</v>
      </c>
      <c r="F36" s="7">
        <f t="shared" si="3"/>
        <v>180.75</v>
      </c>
      <c r="G36">
        <f t="shared" si="10"/>
        <v>16.342474489795915</v>
      </c>
      <c r="H36">
        <f t="shared" si="4"/>
        <v>56</v>
      </c>
      <c r="I36">
        <f t="shared" si="5"/>
        <v>-16.987591190039392</v>
      </c>
      <c r="J36" t="s">
        <v>29</v>
      </c>
      <c r="K36" t="s">
        <v>82</v>
      </c>
      <c r="L36" t="s">
        <v>69</v>
      </c>
      <c r="M36" t="s">
        <v>18</v>
      </c>
      <c r="N36" s="7" t="b">
        <f t="shared" si="6"/>
        <v>0</v>
      </c>
      <c r="O36" t="e">
        <f t="shared" si="7"/>
        <v>#VALUE!</v>
      </c>
      <c r="P36" s="3" t="e">
        <f t="shared" ca="1" si="8"/>
        <v>#VALUE!</v>
      </c>
      <c r="Q36" t="s">
        <v>26</v>
      </c>
      <c r="R36" t="s">
        <v>125</v>
      </c>
      <c r="S36" t="s">
        <v>117</v>
      </c>
      <c r="T36" t="str">
        <f t="shared" si="9"/>
        <v>The Phantom Menace</v>
      </c>
    </row>
    <row r="37" spans="1:20" x14ac:dyDescent="0.6">
      <c r="A37" t="s">
        <v>128</v>
      </c>
      <c r="B37">
        <v>206</v>
      </c>
      <c r="C37" s="7">
        <f t="shared" si="1"/>
        <v>81</v>
      </c>
      <c r="D37">
        <f t="shared" si="2"/>
        <v>2.06</v>
      </c>
      <c r="E37" t="s">
        <v>18</v>
      </c>
      <c r="F37" s="7" t="e">
        <f t="shared" si="3"/>
        <v>#VALUE!</v>
      </c>
      <c r="G37">
        <f t="shared" si="10"/>
        <v>0</v>
      </c>
      <c r="H37">
        <f t="shared" si="4"/>
        <v>60</v>
      </c>
      <c r="I37">
        <f t="shared" si="5"/>
        <v>-33.330065679835307</v>
      </c>
      <c r="J37" t="s">
        <v>29</v>
      </c>
      <c r="K37" t="s">
        <v>64</v>
      </c>
      <c r="L37" t="s">
        <v>69</v>
      </c>
      <c r="M37" t="s">
        <v>18</v>
      </c>
      <c r="N37" s="7" t="b">
        <f t="shared" si="6"/>
        <v>0</v>
      </c>
      <c r="O37" t="e">
        <f t="shared" si="7"/>
        <v>#VALUE!</v>
      </c>
      <c r="P37" s="3" t="e">
        <f t="shared" ca="1" si="8"/>
        <v>#VALUE!</v>
      </c>
      <c r="Q37" t="s">
        <v>26</v>
      </c>
      <c r="R37" t="s">
        <v>125</v>
      </c>
      <c r="S37" t="s">
        <v>117</v>
      </c>
      <c r="T37" t="str">
        <f t="shared" si="9"/>
        <v>The Phantom Menace</v>
      </c>
    </row>
    <row r="38" spans="1:20" x14ac:dyDescent="0.6">
      <c r="A38" t="s">
        <v>129</v>
      </c>
      <c r="B38">
        <v>183</v>
      </c>
      <c r="C38" s="7">
        <f t="shared" si="1"/>
        <v>72</v>
      </c>
      <c r="D38">
        <f t="shared" si="2"/>
        <v>1.83</v>
      </c>
      <c r="E38" t="s">
        <v>18</v>
      </c>
      <c r="F38" s="7" t="e">
        <f t="shared" si="3"/>
        <v>#VALUE!</v>
      </c>
      <c r="G38">
        <f t="shared" si="10"/>
        <v>0</v>
      </c>
      <c r="H38">
        <f t="shared" si="4"/>
        <v>60</v>
      </c>
      <c r="I38">
        <f t="shared" si="5"/>
        <v>-33.330065679835307</v>
      </c>
      <c r="J38" t="s">
        <v>33</v>
      </c>
      <c r="K38" t="s">
        <v>12</v>
      </c>
      <c r="L38" t="s">
        <v>13</v>
      </c>
      <c r="M38" t="s">
        <v>18</v>
      </c>
      <c r="N38" s="7" t="b">
        <f t="shared" si="6"/>
        <v>0</v>
      </c>
      <c r="O38" t="e">
        <f t="shared" si="7"/>
        <v>#VALUE!</v>
      </c>
      <c r="P38" s="3" t="e">
        <f t="shared" ca="1" si="8"/>
        <v>#VALUE!</v>
      </c>
      <c r="Q38" t="s">
        <v>26</v>
      </c>
      <c r="R38" t="s">
        <v>18</v>
      </c>
      <c r="S38" t="s">
        <v>117</v>
      </c>
      <c r="T38" t="str">
        <f t="shared" si="9"/>
        <v>The Phantom Menace</v>
      </c>
    </row>
    <row r="39" spans="1:20" x14ac:dyDescent="0.6">
      <c r="A39" t="s">
        <v>130</v>
      </c>
      <c r="B39">
        <v>137</v>
      </c>
      <c r="C39" s="7">
        <f t="shared" si="1"/>
        <v>53.5</v>
      </c>
      <c r="D39">
        <f t="shared" si="2"/>
        <v>1.37</v>
      </c>
      <c r="E39" t="s">
        <v>18</v>
      </c>
      <c r="F39" s="7" t="e">
        <f t="shared" si="3"/>
        <v>#VALUE!</v>
      </c>
      <c r="G39">
        <f t="shared" si="10"/>
        <v>0</v>
      </c>
      <c r="H39">
        <f t="shared" si="4"/>
        <v>60</v>
      </c>
      <c r="I39">
        <f t="shared" si="5"/>
        <v>-33.330065679835307</v>
      </c>
      <c r="J39" t="s">
        <v>45</v>
      </c>
      <c r="K39" t="s">
        <v>131</v>
      </c>
      <c r="L39" t="s">
        <v>20</v>
      </c>
      <c r="M39" t="s">
        <v>18</v>
      </c>
      <c r="N39" s="7" t="b">
        <f t="shared" si="6"/>
        <v>0</v>
      </c>
      <c r="O39" t="e">
        <f t="shared" si="7"/>
        <v>#VALUE!</v>
      </c>
      <c r="P39" s="3" t="e">
        <f t="shared" ca="1" si="8"/>
        <v>#VALUE!</v>
      </c>
      <c r="Q39" t="s">
        <v>132</v>
      </c>
      <c r="R39" t="s">
        <v>133</v>
      </c>
      <c r="S39" t="s">
        <v>134</v>
      </c>
      <c r="T39" t="str">
        <f t="shared" si="9"/>
        <v xml:space="preserve"> Attack of the Clones </v>
      </c>
    </row>
    <row r="40" spans="1:20" x14ac:dyDescent="0.6">
      <c r="A40" t="s">
        <v>135</v>
      </c>
      <c r="B40">
        <v>112</v>
      </c>
      <c r="C40" s="7">
        <f t="shared" si="1"/>
        <v>44</v>
      </c>
      <c r="D40">
        <f t="shared" si="2"/>
        <v>1.1200000000000001</v>
      </c>
      <c r="E40">
        <v>40</v>
      </c>
      <c r="F40" s="7">
        <f t="shared" si="3"/>
        <v>88.25</v>
      </c>
      <c r="G40">
        <f t="shared" si="10"/>
        <v>31.887755102040813</v>
      </c>
      <c r="H40">
        <f t="shared" si="4"/>
        <v>11</v>
      </c>
      <c r="I40">
        <f t="shared" si="5"/>
        <v>-1.442310577794494</v>
      </c>
      <c r="J40" t="s">
        <v>29</v>
      </c>
      <c r="K40" t="s">
        <v>136</v>
      </c>
      <c r="L40" t="s">
        <v>69</v>
      </c>
      <c r="M40" t="s">
        <v>18</v>
      </c>
      <c r="N40" s="7" t="b">
        <f t="shared" si="6"/>
        <v>0</v>
      </c>
      <c r="O40" t="e">
        <f t="shared" si="7"/>
        <v>#VALUE!</v>
      </c>
      <c r="P40" s="3" t="e">
        <f t="shared" ca="1" si="8"/>
        <v>#VALUE!</v>
      </c>
      <c r="Q40" t="s">
        <v>137</v>
      </c>
      <c r="R40" t="s">
        <v>138</v>
      </c>
      <c r="S40" t="s">
        <v>117</v>
      </c>
      <c r="T40" t="str">
        <f t="shared" si="9"/>
        <v>The Phantom Menace</v>
      </c>
    </row>
    <row r="41" spans="1:20" x14ac:dyDescent="0.6">
      <c r="A41" t="s">
        <v>139</v>
      </c>
      <c r="B41">
        <v>183</v>
      </c>
      <c r="C41" s="7">
        <f t="shared" si="1"/>
        <v>72</v>
      </c>
      <c r="D41">
        <f t="shared" si="2"/>
        <v>1.83</v>
      </c>
      <c r="E41" t="s">
        <v>18</v>
      </c>
      <c r="F41" s="7" t="e">
        <f t="shared" si="3"/>
        <v>#VALUE!</v>
      </c>
      <c r="G41">
        <f t="shared" si="10"/>
        <v>0</v>
      </c>
      <c r="H41">
        <f t="shared" si="4"/>
        <v>60</v>
      </c>
      <c r="I41">
        <f t="shared" si="5"/>
        <v>-33.330065679835307</v>
      </c>
      <c r="J41" t="s">
        <v>45</v>
      </c>
      <c r="K41" t="s">
        <v>95</v>
      </c>
      <c r="L41" t="s">
        <v>33</v>
      </c>
      <c r="M41">
        <v>62</v>
      </c>
      <c r="N41" s="7" t="b">
        <f t="shared" si="6"/>
        <v>1</v>
      </c>
      <c r="O41">
        <f t="shared" si="7"/>
        <v>22630</v>
      </c>
      <c r="P41" s="3">
        <f t="shared" ca="1" si="8"/>
        <v>23408</v>
      </c>
      <c r="Q41" t="s">
        <v>26</v>
      </c>
      <c r="R41" t="s">
        <v>18</v>
      </c>
      <c r="S41" t="s">
        <v>117</v>
      </c>
      <c r="T41" t="str">
        <f t="shared" si="9"/>
        <v>The Phantom Menace</v>
      </c>
    </row>
    <row r="42" spans="1:20" x14ac:dyDescent="0.6">
      <c r="A42" t="s">
        <v>140</v>
      </c>
      <c r="B42">
        <v>163</v>
      </c>
      <c r="C42" s="7">
        <f t="shared" si="1"/>
        <v>64</v>
      </c>
      <c r="D42">
        <f t="shared" si="2"/>
        <v>1.63</v>
      </c>
      <c r="E42" t="s">
        <v>18</v>
      </c>
      <c r="F42" s="7" t="e">
        <f t="shared" si="3"/>
        <v>#VALUE!</v>
      </c>
      <c r="G42">
        <f t="shared" si="10"/>
        <v>0</v>
      </c>
      <c r="H42">
        <f t="shared" si="4"/>
        <v>60</v>
      </c>
      <c r="I42">
        <f t="shared" si="5"/>
        <v>-33.330065679835307</v>
      </c>
      <c r="J42" t="s">
        <v>45</v>
      </c>
      <c r="K42" t="s">
        <v>12</v>
      </c>
      <c r="L42" t="s">
        <v>33</v>
      </c>
      <c r="M42">
        <v>72</v>
      </c>
      <c r="N42" s="7" t="b">
        <f t="shared" si="6"/>
        <v>1</v>
      </c>
      <c r="O42">
        <f t="shared" si="7"/>
        <v>26280</v>
      </c>
      <c r="P42" s="3">
        <f t="shared" ca="1" si="8"/>
        <v>19758</v>
      </c>
      <c r="Q42" t="s">
        <v>14</v>
      </c>
      <c r="R42" t="s">
        <v>15</v>
      </c>
      <c r="S42" t="s">
        <v>134</v>
      </c>
      <c r="T42" t="str">
        <f t="shared" si="9"/>
        <v xml:space="preserve"> Attack of the Clones </v>
      </c>
    </row>
    <row r="43" spans="1:20" x14ac:dyDescent="0.6">
      <c r="A43" t="s">
        <v>141</v>
      </c>
      <c r="B43">
        <v>175</v>
      </c>
      <c r="C43" s="7">
        <f t="shared" si="1"/>
        <v>68.5</v>
      </c>
      <c r="D43">
        <f t="shared" si="2"/>
        <v>1.75</v>
      </c>
      <c r="E43">
        <v>80</v>
      </c>
      <c r="F43" s="7">
        <f t="shared" si="3"/>
        <v>176.25</v>
      </c>
      <c r="G43">
        <f t="shared" si="10"/>
        <v>26.122448979591837</v>
      </c>
      <c r="H43">
        <f t="shared" si="4"/>
        <v>17</v>
      </c>
      <c r="I43">
        <f t="shared" si="5"/>
        <v>-7.2076167002434701</v>
      </c>
      <c r="J43" t="s">
        <v>29</v>
      </c>
      <c r="K43" t="s">
        <v>25</v>
      </c>
      <c r="L43" t="s">
        <v>20</v>
      </c>
      <c r="M43">
        <v>54</v>
      </c>
      <c r="N43" s="7" t="b">
        <f t="shared" si="6"/>
        <v>1</v>
      </c>
      <c r="O43">
        <f t="shared" si="7"/>
        <v>19710</v>
      </c>
      <c r="P43" s="3">
        <f t="shared" ca="1" si="8"/>
        <v>26328</v>
      </c>
      <c r="Q43" t="s">
        <v>142</v>
      </c>
      <c r="R43" t="s">
        <v>143</v>
      </c>
      <c r="S43" t="s">
        <v>117</v>
      </c>
      <c r="T43" t="str">
        <f t="shared" si="9"/>
        <v>The Phantom Menace</v>
      </c>
    </row>
    <row r="44" spans="1:20" x14ac:dyDescent="0.6">
      <c r="A44" t="s">
        <v>144</v>
      </c>
      <c r="B44">
        <v>180</v>
      </c>
      <c r="C44" s="7">
        <f t="shared" si="1"/>
        <v>70.5</v>
      </c>
      <c r="D44">
        <f t="shared" si="2"/>
        <v>1.8</v>
      </c>
      <c r="E44" t="s">
        <v>18</v>
      </c>
      <c r="F44" s="7" t="e">
        <f t="shared" si="3"/>
        <v>#VALUE!</v>
      </c>
      <c r="G44">
        <f t="shared" si="10"/>
        <v>0</v>
      </c>
      <c r="H44">
        <f t="shared" si="4"/>
        <v>60</v>
      </c>
      <c r="I44">
        <f t="shared" si="5"/>
        <v>-33.330065679835307</v>
      </c>
      <c r="J44" t="s">
        <v>29</v>
      </c>
      <c r="K44" t="s">
        <v>83</v>
      </c>
      <c r="L44" t="s">
        <v>145</v>
      </c>
      <c r="M44" t="s">
        <v>18</v>
      </c>
      <c r="N44" s="7" t="b">
        <f t="shared" si="6"/>
        <v>0</v>
      </c>
      <c r="O44" t="e">
        <f t="shared" si="7"/>
        <v>#VALUE!</v>
      </c>
      <c r="P44" s="3" t="e">
        <f t="shared" ca="1" si="8"/>
        <v>#VALUE!</v>
      </c>
      <c r="Q44" t="s">
        <v>146</v>
      </c>
      <c r="R44" t="s">
        <v>147</v>
      </c>
      <c r="S44" t="s">
        <v>108</v>
      </c>
      <c r="T44" t="str">
        <f t="shared" si="9"/>
        <v>Return of the Jedi</v>
      </c>
    </row>
    <row r="45" spans="1:20" x14ac:dyDescent="0.6">
      <c r="A45" t="s">
        <v>148</v>
      </c>
      <c r="B45">
        <v>178</v>
      </c>
      <c r="C45" s="7">
        <f t="shared" si="1"/>
        <v>70</v>
      </c>
      <c r="D45">
        <f t="shared" si="2"/>
        <v>1.78</v>
      </c>
      <c r="E45">
        <v>55</v>
      </c>
      <c r="F45" s="7">
        <f t="shared" si="3"/>
        <v>121.25</v>
      </c>
      <c r="G45">
        <f t="shared" si="10"/>
        <v>17.35891932836763</v>
      </c>
      <c r="H45">
        <f t="shared" si="4"/>
        <v>52</v>
      </c>
      <c r="I45">
        <f t="shared" si="5"/>
        <v>-15.971146351467677</v>
      </c>
      <c r="J45" t="s">
        <v>29</v>
      </c>
      <c r="K45" t="s">
        <v>13</v>
      </c>
      <c r="L45" t="s">
        <v>74</v>
      </c>
      <c r="M45">
        <v>48</v>
      </c>
      <c r="N45" s="7" t="b">
        <f t="shared" si="6"/>
        <v>1</v>
      </c>
      <c r="O45">
        <f t="shared" si="7"/>
        <v>17520</v>
      </c>
      <c r="P45" s="3">
        <f t="shared" ca="1" si="8"/>
        <v>28518</v>
      </c>
      <c r="Q45" t="s">
        <v>146</v>
      </c>
      <c r="R45" t="s">
        <v>147</v>
      </c>
      <c r="S45" t="s">
        <v>149</v>
      </c>
      <c r="T45" t="str">
        <f t="shared" si="9"/>
        <v xml:space="preserve"> Attack of the Clones </v>
      </c>
    </row>
    <row r="46" spans="1:20" x14ac:dyDescent="0.6">
      <c r="A46" t="s">
        <v>150</v>
      </c>
      <c r="B46">
        <v>94</v>
      </c>
      <c r="C46" s="7">
        <f t="shared" si="1"/>
        <v>37</v>
      </c>
      <c r="D46">
        <f t="shared" si="2"/>
        <v>0.94</v>
      </c>
      <c r="E46">
        <v>45</v>
      </c>
      <c r="F46" s="7">
        <f t="shared" si="3"/>
        <v>99.25</v>
      </c>
      <c r="G46">
        <f t="shared" si="10"/>
        <v>50.928021729289277</v>
      </c>
      <c r="H46">
        <f t="shared" si="4"/>
        <v>2</v>
      </c>
      <c r="I46">
        <f t="shared" si="5"/>
        <v>17.59795604945397</v>
      </c>
      <c r="J46" t="s">
        <v>29</v>
      </c>
      <c r="K46" t="s">
        <v>131</v>
      </c>
      <c r="L46" t="s">
        <v>20</v>
      </c>
      <c r="M46" t="s">
        <v>18</v>
      </c>
      <c r="N46" s="7" t="b">
        <f t="shared" si="6"/>
        <v>0</v>
      </c>
      <c r="O46" t="e">
        <f t="shared" si="7"/>
        <v>#VALUE!</v>
      </c>
      <c r="P46" s="3" t="e">
        <f t="shared" ca="1" si="8"/>
        <v>#VALUE!</v>
      </c>
      <c r="Q46" t="s">
        <v>151</v>
      </c>
      <c r="R46" t="s">
        <v>152</v>
      </c>
      <c r="S46" t="s">
        <v>117</v>
      </c>
      <c r="T46" t="str">
        <f t="shared" si="9"/>
        <v>The Phantom Menace</v>
      </c>
    </row>
    <row r="47" spans="1:20" x14ac:dyDescent="0.6">
      <c r="A47" t="s">
        <v>153</v>
      </c>
      <c r="B47">
        <v>122</v>
      </c>
      <c r="C47" s="7">
        <f t="shared" si="1"/>
        <v>48</v>
      </c>
      <c r="D47">
        <f t="shared" si="2"/>
        <v>1.22</v>
      </c>
      <c r="E47" t="s">
        <v>18</v>
      </c>
      <c r="F47" s="7" t="e">
        <f t="shared" si="3"/>
        <v>#VALUE!</v>
      </c>
      <c r="G47">
        <f t="shared" si="10"/>
        <v>0</v>
      </c>
      <c r="H47">
        <f t="shared" si="4"/>
        <v>60</v>
      </c>
      <c r="I47">
        <f t="shared" si="5"/>
        <v>-33.330065679835307</v>
      </c>
      <c r="J47" t="s">
        <v>29</v>
      </c>
      <c r="K47" t="s">
        <v>24</v>
      </c>
      <c r="L47" t="s">
        <v>45</v>
      </c>
      <c r="M47" t="s">
        <v>18</v>
      </c>
      <c r="N47" s="7" t="b">
        <f t="shared" si="6"/>
        <v>0</v>
      </c>
      <c r="O47" t="e">
        <f t="shared" si="7"/>
        <v>#VALUE!</v>
      </c>
      <c r="P47" s="3" t="e">
        <f t="shared" ca="1" si="8"/>
        <v>#VALUE!</v>
      </c>
      <c r="Q47" t="s">
        <v>154</v>
      </c>
      <c r="R47" t="s">
        <v>155</v>
      </c>
      <c r="S47" t="s">
        <v>117</v>
      </c>
      <c r="T47" t="str">
        <f t="shared" si="9"/>
        <v>The Phantom Menace</v>
      </c>
    </row>
    <row r="48" spans="1:20" x14ac:dyDescent="0.6">
      <c r="A48" t="s">
        <v>156</v>
      </c>
      <c r="B48">
        <v>163</v>
      </c>
      <c r="C48" s="7">
        <f t="shared" si="1"/>
        <v>64</v>
      </c>
      <c r="D48">
        <f t="shared" si="2"/>
        <v>1.63</v>
      </c>
      <c r="E48">
        <v>65</v>
      </c>
      <c r="F48" s="7">
        <f t="shared" si="3"/>
        <v>143.25</v>
      </c>
      <c r="G48">
        <f t="shared" si="10"/>
        <v>24.464601603372351</v>
      </c>
      <c r="H48">
        <f t="shared" si="4"/>
        <v>31</v>
      </c>
      <c r="I48">
        <f t="shared" si="5"/>
        <v>-8.8654640764629562</v>
      </c>
      <c r="J48" t="s">
        <v>29</v>
      </c>
      <c r="K48" t="s">
        <v>157</v>
      </c>
      <c r="L48" t="s">
        <v>69</v>
      </c>
      <c r="M48" t="s">
        <v>18</v>
      </c>
      <c r="N48" s="7" t="b">
        <f t="shared" si="6"/>
        <v>0</v>
      </c>
      <c r="O48" t="e">
        <f t="shared" si="7"/>
        <v>#VALUE!</v>
      </c>
      <c r="P48" s="3" t="e">
        <f t="shared" ca="1" si="8"/>
        <v>#VALUE!</v>
      </c>
      <c r="Q48" t="s">
        <v>158</v>
      </c>
      <c r="R48" t="s">
        <v>159</v>
      </c>
      <c r="S48" t="s">
        <v>117</v>
      </c>
      <c r="T48" t="str">
        <f t="shared" si="9"/>
        <v>The Phantom Menace</v>
      </c>
    </row>
    <row r="49" spans="1:20" x14ac:dyDescent="0.6">
      <c r="A49" t="s">
        <v>160</v>
      </c>
      <c r="B49">
        <v>188</v>
      </c>
      <c r="C49" s="7">
        <f t="shared" si="1"/>
        <v>74</v>
      </c>
      <c r="D49">
        <f t="shared" si="2"/>
        <v>1.88</v>
      </c>
      <c r="E49">
        <v>84</v>
      </c>
      <c r="F49" s="7">
        <f t="shared" si="3"/>
        <v>185.25</v>
      </c>
      <c r="G49">
        <f t="shared" si="10"/>
        <v>23.766410140334994</v>
      </c>
      <c r="H49">
        <f t="shared" si="4"/>
        <v>35</v>
      </c>
      <c r="I49">
        <f t="shared" si="5"/>
        <v>-9.5636555395003136</v>
      </c>
      <c r="J49" t="s">
        <v>29</v>
      </c>
      <c r="K49" t="s">
        <v>95</v>
      </c>
      <c r="L49" t="s">
        <v>33</v>
      </c>
      <c r="M49">
        <v>72</v>
      </c>
      <c r="N49" s="7" t="b">
        <f t="shared" si="6"/>
        <v>1</v>
      </c>
      <c r="O49">
        <f t="shared" si="7"/>
        <v>26280</v>
      </c>
      <c r="P49" s="3">
        <f t="shared" ca="1" si="8"/>
        <v>19758</v>
      </c>
      <c r="Q49" t="s">
        <v>161</v>
      </c>
      <c r="R49" t="s">
        <v>15</v>
      </c>
      <c r="S49" t="s">
        <v>51</v>
      </c>
      <c r="T49" t="str">
        <f t="shared" si="9"/>
        <v xml:space="preserve">Attack of the Clones </v>
      </c>
    </row>
    <row r="50" spans="1:20" x14ac:dyDescent="0.6">
      <c r="A50" t="s">
        <v>162</v>
      </c>
      <c r="B50">
        <v>198</v>
      </c>
      <c r="C50" s="7">
        <f t="shared" si="1"/>
        <v>77.5</v>
      </c>
      <c r="D50">
        <f t="shared" si="2"/>
        <v>1.98</v>
      </c>
      <c r="E50">
        <v>82</v>
      </c>
      <c r="F50" s="7">
        <f t="shared" si="3"/>
        <v>180.75</v>
      </c>
      <c r="G50">
        <f t="shared" si="10"/>
        <v>20.91623303744516</v>
      </c>
      <c r="H50">
        <f t="shared" si="4"/>
        <v>46</v>
      </c>
      <c r="I50">
        <f t="shared" si="5"/>
        <v>-12.413832642390147</v>
      </c>
      <c r="J50" t="s">
        <v>30</v>
      </c>
      <c r="K50" t="s">
        <v>83</v>
      </c>
      <c r="L50" t="s">
        <v>20</v>
      </c>
      <c r="M50">
        <v>92</v>
      </c>
      <c r="N50" s="7" t="b">
        <f t="shared" si="6"/>
        <v>1</v>
      </c>
      <c r="O50">
        <f t="shared" si="7"/>
        <v>33580</v>
      </c>
      <c r="P50" s="3">
        <f t="shared" ca="1" si="8"/>
        <v>12458</v>
      </c>
      <c r="Q50" t="s">
        <v>163</v>
      </c>
      <c r="R50" t="s">
        <v>164</v>
      </c>
      <c r="S50" t="s">
        <v>51</v>
      </c>
      <c r="T50" t="str">
        <f t="shared" si="9"/>
        <v xml:space="preserve">Attack of the Clones </v>
      </c>
    </row>
    <row r="51" spans="1:20" x14ac:dyDescent="0.6">
      <c r="A51" t="s">
        <v>165</v>
      </c>
      <c r="B51">
        <v>196</v>
      </c>
      <c r="C51" s="7">
        <f t="shared" si="1"/>
        <v>77</v>
      </c>
      <c r="D51">
        <f t="shared" si="2"/>
        <v>1.96</v>
      </c>
      <c r="E51">
        <v>87</v>
      </c>
      <c r="F51" s="7">
        <f t="shared" si="3"/>
        <v>191.75</v>
      </c>
      <c r="G51">
        <f t="shared" si="10"/>
        <v>22.646813827571847</v>
      </c>
      <c r="H51">
        <f t="shared" si="4"/>
        <v>40</v>
      </c>
      <c r="I51">
        <f t="shared" si="5"/>
        <v>-10.68325185226346</v>
      </c>
      <c r="J51" t="s">
        <v>29</v>
      </c>
      <c r="K51" t="s">
        <v>64</v>
      </c>
      <c r="L51" t="s">
        <v>45</v>
      </c>
      <c r="M51" t="s">
        <v>18</v>
      </c>
      <c r="N51" s="7" t="b">
        <f t="shared" si="6"/>
        <v>0</v>
      </c>
      <c r="O51" t="e">
        <f t="shared" si="7"/>
        <v>#VALUE!</v>
      </c>
      <c r="P51" s="3" t="e">
        <f t="shared" ca="1" si="8"/>
        <v>#VALUE!</v>
      </c>
      <c r="Q51" t="s">
        <v>166</v>
      </c>
      <c r="R51" t="s">
        <v>167</v>
      </c>
      <c r="S51" t="s">
        <v>51</v>
      </c>
      <c r="T51" t="str">
        <f t="shared" si="9"/>
        <v xml:space="preserve">Attack of the Clones </v>
      </c>
    </row>
    <row r="52" spans="1:20" x14ac:dyDescent="0.6">
      <c r="A52" t="s">
        <v>168</v>
      </c>
      <c r="B52">
        <v>171</v>
      </c>
      <c r="C52" s="7">
        <f t="shared" si="1"/>
        <v>67</v>
      </c>
      <c r="D52">
        <f t="shared" si="2"/>
        <v>1.71</v>
      </c>
      <c r="E52" t="s">
        <v>18</v>
      </c>
      <c r="F52" s="7" t="e">
        <f t="shared" si="3"/>
        <v>#VALUE!</v>
      </c>
      <c r="G52">
        <f t="shared" si="10"/>
        <v>0</v>
      </c>
      <c r="H52">
        <f t="shared" si="4"/>
        <v>60</v>
      </c>
      <c r="I52">
        <f t="shared" si="5"/>
        <v>-33.330065679835307</v>
      </c>
      <c r="J52" t="s">
        <v>45</v>
      </c>
      <c r="K52" t="s">
        <v>33</v>
      </c>
      <c r="L52" t="s">
        <v>33</v>
      </c>
      <c r="M52" t="s">
        <v>18</v>
      </c>
      <c r="N52" s="7" t="b">
        <f t="shared" si="6"/>
        <v>0</v>
      </c>
      <c r="O52" t="e">
        <f t="shared" si="7"/>
        <v>#VALUE!</v>
      </c>
      <c r="P52" s="3" t="e">
        <f t="shared" ca="1" si="8"/>
        <v>#VALUE!</v>
      </c>
      <c r="Q52" t="s">
        <v>169</v>
      </c>
      <c r="R52" t="s">
        <v>143</v>
      </c>
      <c r="S52" t="s">
        <v>170</v>
      </c>
      <c r="T52" t="str">
        <f t="shared" si="9"/>
        <v xml:space="preserve">The Phantom Menace </v>
      </c>
    </row>
    <row r="53" spans="1:20" x14ac:dyDescent="0.6">
      <c r="A53" t="s">
        <v>171</v>
      </c>
      <c r="B53">
        <v>184</v>
      </c>
      <c r="C53" s="7">
        <f t="shared" si="1"/>
        <v>72</v>
      </c>
      <c r="D53">
        <f t="shared" si="2"/>
        <v>1.84</v>
      </c>
      <c r="E53">
        <v>50</v>
      </c>
      <c r="F53" s="7">
        <f t="shared" si="3"/>
        <v>110.25</v>
      </c>
      <c r="G53">
        <f t="shared" si="10"/>
        <v>14.768431001890358</v>
      </c>
      <c r="H53">
        <f t="shared" si="4"/>
        <v>58</v>
      </c>
      <c r="I53">
        <f t="shared" si="5"/>
        <v>-18.561634677944951</v>
      </c>
      <c r="J53" t="s">
        <v>29</v>
      </c>
      <c r="K53" t="s">
        <v>95</v>
      </c>
      <c r="L53" t="s">
        <v>13</v>
      </c>
      <c r="M53" t="s">
        <v>18</v>
      </c>
      <c r="N53" s="7" t="b">
        <f t="shared" si="6"/>
        <v>0</v>
      </c>
      <c r="O53" t="e">
        <f t="shared" si="7"/>
        <v>#VALUE!</v>
      </c>
      <c r="P53" s="3" t="e">
        <f t="shared" ca="1" si="8"/>
        <v>#VALUE!</v>
      </c>
      <c r="Q53" t="s">
        <v>123</v>
      </c>
      <c r="R53" t="s">
        <v>172</v>
      </c>
      <c r="S53" t="s">
        <v>170</v>
      </c>
      <c r="T53" t="str">
        <f t="shared" si="9"/>
        <v xml:space="preserve">The Phantom Menace </v>
      </c>
    </row>
    <row r="54" spans="1:20" x14ac:dyDescent="0.6">
      <c r="A54" t="s">
        <v>173</v>
      </c>
      <c r="B54">
        <v>188</v>
      </c>
      <c r="C54" s="7">
        <f t="shared" si="1"/>
        <v>74</v>
      </c>
      <c r="D54">
        <f t="shared" si="2"/>
        <v>1.88</v>
      </c>
      <c r="E54" t="s">
        <v>18</v>
      </c>
      <c r="F54" s="7" t="e">
        <f t="shared" si="3"/>
        <v>#VALUE!</v>
      </c>
      <c r="G54">
        <f t="shared" si="10"/>
        <v>0</v>
      </c>
      <c r="H54">
        <f t="shared" si="4"/>
        <v>60</v>
      </c>
      <c r="I54">
        <f t="shared" si="5"/>
        <v>-33.330065679835307</v>
      </c>
      <c r="J54" t="s">
        <v>29</v>
      </c>
      <c r="K54" t="s">
        <v>83</v>
      </c>
      <c r="L54" t="s">
        <v>69</v>
      </c>
      <c r="M54" t="s">
        <v>18</v>
      </c>
      <c r="N54" s="7" t="b">
        <f t="shared" si="6"/>
        <v>0</v>
      </c>
      <c r="O54" t="e">
        <f t="shared" si="7"/>
        <v>#VALUE!</v>
      </c>
      <c r="P54" s="3" t="e">
        <f t="shared" ca="1" si="8"/>
        <v>#VALUE!</v>
      </c>
      <c r="Q54" t="s">
        <v>174</v>
      </c>
      <c r="R54" t="s">
        <v>175</v>
      </c>
      <c r="S54" t="s">
        <v>170</v>
      </c>
      <c r="T54" t="str">
        <f t="shared" si="9"/>
        <v xml:space="preserve">The Phantom Menace </v>
      </c>
    </row>
    <row r="55" spans="1:20" x14ac:dyDescent="0.6">
      <c r="A55" t="s">
        <v>176</v>
      </c>
      <c r="B55">
        <v>264</v>
      </c>
      <c r="C55" s="7">
        <f t="shared" si="1"/>
        <v>103.5</v>
      </c>
      <c r="D55">
        <f t="shared" si="2"/>
        <v>2.64</v>
      </c>
      <c r="E55" t="s">
        <v>18</v>
      </c>
      <c r="F55" s="7" t="e">
        <f t="shared" si="3"/>
        <v>#VALUE!</v>
      </c>
      <c r="G55">
        <f t="shared" si="10"/>
        <v>0</v>
      </c>
      <c r="H55">
        <f t="shared" si="4"/>
        <v>60</v>
      </c>
      <c r="I55">
        <f t="shared" si="5"/>
        <v>-33.330065679835307</v>
      </c>
      <c r="J55" t="s">
        <v>29</v>
      </c>
      <c r="K55" t="s">
        <v>30</v>
      </c>
      <c r="L55" t="s">
        <v>20</v>
      </c>
      <c r="M55" t="s">
        <v>18</v>
      </c>
      <c r="N55" s="7" t="b">
        <f t="shared" si="6"/>
        <v>0</v>
      </c>
      <c r="O55" t="e">
        <f t="shared" si="7"/>
        <v>#VALUE!</v>
      </c>
      <c r="P55" s="3" t="e">
        <f t="shared" ca="1" si="8"/>
        <v>#VALUE!</v>
      </c>
      <c r="Q55" t="s">
        <v>177</v>
      </c>
      <c r="R55" t="s">
        <v>178</v>
      </c>
      <c r="S55" t="s">
        <v>117</v>
      </c>
      <c r="T55" t="str">
        <f t="shared" si="9"/>
        <v>The Phantom Menace</v>
      </c>
    </row>
    <row r="56" spans="1:20" x14ac:dyDescent="0.6">
      <c r="A56" t="s">
        <v>179</v>
      </c>
      <c r="B56">
        <v>188</v>
      </c>
      <c r="C56" s="7">
        <f t="shared" si="1"/>
        <v>74</v>
      </c>
      <c r="D56">
        <f t="shared" si="2"/>
        <v>1.88</v>
      </c>
      <c r="E56">
        <v>80</v>
      </c>
      <c r="F56" s="7">
        <f t="shared" si="3"/>
        <v>176.25</v>
      </c>
      <c r="G56">
        <f t="shared" si="10"/>
        <v>22.634676324128566</v>
      </c>
      <c r="H56">
        <f t="shared" si="4"/>
        <v>41</v>
      </c>
      <c r="I56">
        <f t="shared" si="5"/>
        <v>-10.695389355706741</v>
      </c>
      <c r="J56" t="s">
        <v>29</v>
      </c>
      <c r="K56" t="s">
        <v>69</v>
      </c>
      <c r="L56" t="s">
        <v>45</v>
      </c>
      <c r="M56">
        <v>22</v>
      </c>
      <c r="N56" s="7" t="b">
        <f t="shared" si="6"/>
        <v>1</v>
      </c>
      <c r="O56">
        <f t="shared" si="7"/>
        <v>8030</v>
      </c>
      <c r="P56" s="3">
        <f t="shared" ca="1" si="8"/>
        <v>38008</v>
      </c>
      <c r="Q56" t="s">
        <v>180</v>
      </c>
      <c r="R56" t="s">
        <v>181</v>
      </c>
      <c r="S56" t="s">
        <v>51</v>
      </c>
      <c r="T56" t="str">
        <f t="shared" si="9"/>
        <v xml:space="preserve">Attack of the Clones </v>
      </c>
    </row>
    <row r="57" spans="1:20" x14ac:dyDescent="0.6">
      <c r="A57" t="s">
        <v>182</v>
      </c>
      <c r="B57">
        <v>196</v>
      </c>
      <c r="C57" s="7">
        <f t="shared" si="1"/>
        <v>77</v>
      </c>
      <c r="D57">
        <f t="shared" si="2"/>
        <v>1.96</v>
      </c>
      <c r="E57" t="s">
        <v>18</v>
      </c>
      <c r="F57" s="7" t="e">
        <f t="shared" si="3"/>
        <v>#VALUE!</v>
      </c>
      <c r="G57">
        <f t="shared" si="10"/>
        <v>0</v>
      </c>
      <c r="H57">
        <f t="shared" si="4"/>
        <v>60</v>
      </c>
      <c r="I57">
        <f t="shared" si="5"/>
        <v>-33.330065679835307</v>
      </c>
      <c r="J57" t="s">
        <v>29</v>
      </c>
      <c r="K57" t="s">
        <v>13</v>
      </c>
      <c r="L57" t="s">
        <v>13</v>
      </c>
      <c r="M57" t="s">
        <v>18</v>
      </c>
      <c r="N57" s="7" t="b">
        <f t="shared" si="6"/>
        <v>0</v>
      </c>
      <c r="O57" t="e">
        <f t="shared" si="7"/>
        <v>#VALUE!</v>
      </c>
      <c r="P57" s="3" t="e">
        <f t="shared" ca="1" si="8"/>
        <v>#VALUE!</v>
      </c>
      <c r="Q57" t="s">
        <v>183</v>
      </c>
      <c r="R57" t="s">
        <v>184</v>
      </c>
      <c r="S57" t="s">
        <v>126</v>
      </c>
      <c r="T57" t="str">
        <f t="shared" si="9"/>
        <v xml:space="preserve">Attack of the Clones </v>
      </c>
    </row>
    <row r="58" spans="1:20" x14ac:dyDescent="0.6">
      <c r="A58" t="s">
        <v>185</v>
      </c>
      <c r="B58">
        <v>185</v>
      </c>
      <c r="C58" s="7">
        <f t="shared" si="1"/>
        <v>72.5</v>
      </c>
      <c r="D58">
        <f t="shared" si="2"/>
        <v>1.85</v>
      </c>
      <c r="E58">
        <v>85</v>
      </c>
      <c r="F58" s="7">
        <f t="shared" si="3"/>
        <v>187.5</v>
      </c>
      <c r="G58">
        <f t="shared" si="10"/>
        <v>24.835646457268076</v>
      </c>
      <c r="H58">
        <f t="shared" si="4"/>
        <v>27</v>
      </c>
      <c r="I58">
        <f t="shared" si="5"/>
        <v>-8.494419222567231</v>
      </c>
      <c r="J58" t="s">
        <v>45</v>
      </c>
      <c r="K58" t="s">
        <v>95</v>
      </c>
      <c r="L58" t="s">
        <v>33</v>
      </c>
      <c r="M58" t="s">
        <v>18</v>
      </c>
      <c r="N58" s="7" t="b">
        <f t="shared" si="6"/>
        <v>0</v>
      </c>
      <c r="O58" t="e">
        <f t="shared" si="7"/>
        <v>#VALUE!</v>
      </c>
      <c r="P58" s="3" t="e">
        <f t="shared" ca="1" si="8"/>
        <v>#VALUE!</v>
      </c>
      <c r="Q58" t="s">
        <v>26</v>
      </c>
      <c r="R58" t="s">
        <v>15</v>
      </c>
      <c r="S58" t="s">
        <v>186</v>
      </c>
      <c r="T58" t="str">
        <f t="shared" si="9"/>
        <v>Attack of the Clones</v>
      </c>
    </row>
    <row r="59" spans="1:20" x14ac:dyDescent="0.6">
      <c r="A59" t="s">
        <v>187</v>
      </c>
      <c r="B59">
        <v>157</v>
      </c>
      <c r="C59" s="7">
        <f t="shared" si="1"/>
        <v>61.5</v>
      </c>
      <c r="D59">
        <f t="shared" si="2"/>
        <v>1.57</v>
      </c>
      <c r="E59" t="s">
        <v>18</v>
      </c>
      <c r="F59" s="7" t="e">
        <f t="shared" si="3"/>
        <v>#VALUE!</v>
      </c>
      <c r="G59">
        <f t="shared" si="10"/>
        <v>0</v>
      </c>
      <c r="H59">
        <f t="shared" si="4"/>
        <v>60</v>
      </c>
      <c r="I59">
        <f t="shared" si="5"/>
        <v>-33.330065679835307</v>
      </c>
      <c r="J59" t="s">
        <v>33</v>
      </c>
      <c r="K59" t="s">
        <v>34</v>
      </c>
      <c r="L59" t="s">
        <v>33</v>
      </c>
      <c r="M59" t="s">
        <v>18</v>
      </c>
      <c r="N59" s="7" t="b">
        <f t="shared" si="6"/>
        <v>0</v>
      </c>
      <c r="O59" t="e">
        <f t="shared" si="7"/>
        <v>#VALUE!</v>
      </c>
      <c r="P59" s="3" t="e">
        <f t="shared" ca="1" si="8"/>
        <v>#VALUE!</v>
      </c>
      <c r="Q59" t="s">
        <v>26</v>
      </c>
      <c r="R59" t="s">
        <v>15</v>
      </c>
      <c r="S59" t="s">
        <v>186</v>
      </c>
      <c r="T59" t="str">
        <f t="shared" si="9"/>
        <v>Attack of the Clones</v>
      </c>
    </row>
    <row r="60" spans="1:20" x14ac:dyDescent="0.6">
      <c r="A60" t="s">
        <v>188</v>
      </c>
      <c r="B60">
        <v>183</v>
      </c>
      <c r="C60" s="7">
        <f t="shared" si="1"/>
        <v>72</v>
      </c>
      <c r="D60">
        <f t="shared" si="2"/>
        <v>1.83</v>
      </c>
      <c r="E60" t="s">
        <v>18</v>
      </c>
      <c r="F60" s="7" t="e">
        <f t="shared" si="3"/>
        <v>#VALUE!</v>
      </c>
      <c r="G60">
        <f t="shared" si="10"/>
        <v>0</v>
      </c>
      <c r="H60">
        <f t="shared" si="4"/>
        <v>60</v>
      </c>
      <c r="I60">
        <f t="shared" si="5"/>
        <v>-33.330065679835307</v>
      </c>
      <c r="J60" t="s">
        <v>33</v>
      </c>
      <c r="K60" t="s">
        <v>12</v>
      </c>
      <c r="L60" t="s">
        <v>13</v>
      </c>
      <c r="M60">
        <v>82</v>
      </c>
      <c r="N60" s="7" t="b">
        <f t="shared" si="6"/>
        <v>1</v>
      </c>
      <c r="O60">
        <f t="shared" si="7"/>
        <v>29930</v>
      </c>
      <c r="P60" s="3">
        <f t="shared" ca="1" si="8"/>
        <v>16108</v>
      </c>
      <c r="Q60" t="s">
        <v>14</v>
      </c>
      <c r="R60" t="s">
        <v>15</v>
      </c>
      <c r="S60" t="s">
        <v>186</v>
      </c>
      <c r="T60" t="str">
        <f t="shared" si="9"/>
        <v>Attack of the Clones</v>
      </c>
    </row>
    <row r="61" spans="1:20" x14ac:dyDescent="0.6">
      <c r="A61" t="s">
        <v>189</v>
      </c>
      <c r="B61">
        <v>183</v>
      </c>
      <c r="C61" s="7">
        <f t="shared" si="1"/>
        <v>72</v>
      </c>
      <c r="D61">
        <f t="shared" si="2"/>
        <v>1.83</v>
      </c>
      <c r="E61">
        <v>80</v>
      </c>
      <c r="F61" s="7">
        <f t="shared" si="3"/>
        <v>176.25</v>
      </c>
      <c r="G61">
        <f t="shared" si="10"/>
        <v>23.888440980620498</v>
      </c>
      <c r="H61">
        <f t="shared" si="4"/>
        <v>34</v>
      </c>
      <c r="I61">
        <f t="shared" si="5"/>
        <v>-9.4416246992148096</v>
      </c>
      <c r="J61" t="s">
        <v>29</v>
      </c>
      <c r="K61" t="s">
        <v>64</v>
      </c>
      <c r="L61" t="s">
        <v>20</v>
      </c>
      <c r="M61" t="s">
        <v>18</v>
      </c>
      <c r="N61" s="7" t="b">
        <f t="shared" si="6"/>
        <v>0</v>
      </c>
      <c r="O61" t="e">
        <f t="shared" si="7"/>
        <v>#VALUE!</v>
      </c>
      <c r="P61" s="3" t="e">
        <f t="shared" ca="1" si="8"/>
        <v>#VALUE!</v>
      </c>
      <c r="Q61" t="s">
        <v>190</v>
      </c>
      <c r="R61" t="s">
        <v>191</v>
      </c>
      <c r="S61" t="s">
        <v>192</v>
      </c>
      <c r="T61" t="str">
        <f t="shared" si="9"/>
        <v xml:space="preserve">Attack of the Clones </v>
      </c>
    </row>
    <row r="62" spans="1:20" x14ac:dyDescent="0.6">
      <c r="A62" t="s">
        <v>193</v>
      </c>
      <c r="B62">
        <v>170</v>
      </c>
      <c r="C62" s="7">
        <f t="shared" si="1"/>
        <v>66.5</v>
      </c>
      <c r="D62">
        <f t="shared" si="2"/>
        <v>1.7</v>
      </c>
      <c r="E62">
        <v>56.2</v>
      </c>
      <c r="F62" s="7">
        <f t="shared" si="3"/>
        <v>124</v>
      </c>
      <c r="G62">
        <f t="shared" si="10"/>
        <v>19.446366782006923</v>
      </c>
      <c r="H62">
        <f t="shared" si="4"/>
        <v>48</v>
      </c>
      <c r="I62">
        <f t="shared" si="5"/>
        <v>-13.883698897828385</v>
      </c>
      <c r="J62" t="s">
        <v>45</v>
      </c>
      <c r="K62" t="s">
        <v>20</v>
      </c>
      <c r="L62" t="s">
        <v>13</v>
      </c>
      <c r="M62">
        <v>58</v>
      </c>
      <c r="N62" s="7" t="b">
        <f t="shared" si="6"/>
        <v>1</v>
      </c>
      <c r="O62">
        <f t="shared" si="7"/>
        <v>21170</v>
      </c>
      <c r="P62" s="3">
        <f t="shared" ca="1" si="8"/>
        <v>24868</v>
      </c>
      <c r="Q62" t="s">
        <v>194</v>
      </c>
      <c r="R62" t="s">
        <v>195</v>
      </c>
      <c r="S62" t="s">
        <v>192</v>
      </c>
      <c r="T62" t="str">
        <f t="shared" si="9"/>
        <v xml:space="preserve">Attack of the Clones </v>
      </c>
    </row>
    <row r="63" spans="1:20" x14ac:dyDescent="0.6">
      <c r="A63" t="s">
        <v>196</v>
      </c>
      <c r="B63">
        <v>166</v>
      </c>
      <c r="C63" s="7">
        <f t="shared" si="1"/>
        <v>65</v>
      </c>
      <c r="D63">
        <f t="shared" si="2"/>
        <v>1.66</v>
      </c>
      <c r="E63">
        <v>50</v>
      </c>
      <c r="F63" s="7">
        <f t="shared" si="3"/>
        <v>110.25</v>
      </c>
      <c r="G63">
        <f t="shared" si="10"/>
        <v>18.144868631151112</v>
      </c>
      <c r="H63">
        <f t="shared" si="4"/>
        <v>50</v>
      </c>
      <c r="I63">
        <f t="shared" si="5"/>
        <v>-15.185197048684195</v>
      </c>
      <c r="J63" t="s">
        <v>45</v>
      </c>
      <c r="K63" t="s">
        <v>20</v>
      </c>
      <c r="L63" t="s">
        <v>13</v>
      </c>
      <c r="M63">
        <v>40</v>
      </c>
      <c r="N63" s="7" t="b">
        <f t="shared" si="6"/>
        <v>1</v>
      </c>
      <c r="O63">
        <f t="shared" si="7"/>
        <v>14600</v>
      </c>
      <c r="P63" s="3">
        <f t="shared" ca="1" si="8"/>
        <v>31438</v>
      </c>
      <c r="Q63" t="s">
        <v>194</v>
      </c>
      <c r="R63" t="s">
        <v>195</v>
      </c>
      <c r="S63" t="s">
        <v>186</v>
      </c>
      <c r="T63" t="str">
        <f t="shared" si="9"/>
        <v>Attack of the Clones</v>
      </c>
    </row>
    <row r="64" spans="1:20" x14ac:dyDescent="0.6">
      <c r="A64" t="s">
        <v>197</v>
      </c>
      <c r="B64">
        <v>165</v>
      </c>
      <c r="C64" s="7">
        <f t="shared" si="1"/>
        <v>64.5</v>
      </c>
      <c r="D64">
        <f t="shared" si="2"/>
        <v>1.65</v>
      </c>
      <c r="E64" t="s">
        <v>18</v>
      </c>
      <c r="F64" s="7" t="e">
        <f t="shared" si="3"/>
        <v>#VALUE!</v>
      </c>
      <c r="G64">
        <f t="shared" si="10"/>
        <v>0</v>
      </c>
      <c r="H64">
        <f t="shared" si="4"/>
        <v>60</v>
      </c>
      <c r="I64">
        <f t="shared" si="5"/>
        <v>-33.330065679835307</v>
      </c>
      <c r="J64" t="s">
        <v>33</v>
      </c>
      <c r="K64" t="s">
        <v>34</v>
      </c>
      <c r="L64" t="s">
        <v>33</v>
      </c>
      <c r="M64" t="s">
        <v>18</v>
      </c>
      <c r="N64" s="7" t="b">
        <f t="shared" si="6"/>
        <v>0</v>
      </c>
      <c r="O64" t="e">
        <f t="shared" si="7"/>
        <v>#VALUE!</v>
      </c>
      <c r="P64" s="3" t="e">
        <f t="shared" ca="1" si="8"/>
        <v>#VALUE!</v>
      </c>
      <c r="Q64" t="s">
        <v>26</v>
      </c>
      <c r="R64" t="s">
        <v>15</v>
      </c>
      <c r="S64" t="s">
        <v>186</v>
      </c>
      <c r="T64" t="str">
        <f t="shared" si="9"/>
        <v>Attack of the Clones</v>
      </c>
    </row>
    <row r="65" spans="1:20" x14ac:dyDescent="0.6">
      <c r="A65" t="s">
        <v>198</v>
      </c>
      <c r="B65">
        <v>193</v>
      </c>
      <c r="C65" s="7">
        <f t="shared" si="1"/>
        <v>75.5</v>
      </c>
      <c r="D65">
        <f t="shared" si="2"/>
        <v>1.93</v>
      </c>
      <c r="E65">
        <v>80</v>
      </c>
      <c r="F65" s="7">
        <f t="shared" si="3"/>
        <v>176.25</v>
      </c>
      <c r="G65">
        <f t="shared" si="10"/>
        <v>21.477086633198208</v>
      </c>
      <c r="H65">
        <f t="shared" si="4"/>
        <v>45</v>
      </c>
      <c r="I65">
        <f t="shared" si="5"/>
        <v>-11.852979046637099</v>
      </c>
      <c r="J65" t="s">
        <v>30</v>
      </c>
      <c r="K65" t="s">
        <v>12</v>
      </c>
      <c r="L65" t="s">
        <v>33</v>
      </c>
      <c r="M65">
        <v>102</v>
      </c>
      <c r="N65" s="7" t="b">
        <f t="shared" si="6"/>
        <v>1</v>
      </c>
      <c r="O65">
        <f t="shared" si="7"/>
        <v>37230</v>
      </c>
      <c r="P65" s="3">
        <f t="shared" ca="1" si="8"/>
        <v>8808</v>
      </c>
      <c r="Q65" t="s">
        <v>199</v>
      </c>
      <c r="R65" t="s">
        <v>15</v>
      </c>
      <c r="S65" t="s">
        <v>192</v>
      </c>
      <c r="T65" t="str">
        <f t="shared" si="9"/>
        <v xml:space="preserve">Attack of the Clones </v>
      </c>
    </row>
    <row r="66" spans="1:20" x14ac:dyDescent="0.6">
      <c r="A66" t="s">
        <v>200</v>
      </c>
      <c r="B66">
        <v>191</v>
      </c>
      <c r="C66" s="7">
        <f t="shared" si="1"/>
        <v>75</v>
      </c>
      <c r="D66">
        <f t="shared" si="2"/>
        <v>1.91</v>
      </c>
      <c r="E66" t="s">
        <v>18</v>
      </c>
      <c r="F66" s="7" t="e">
        <f t="shared" si="3"/>
        <v>#VALUE!</v>
      </c>
      <c r="G66">
        <f t="shared" ref="G66:G88" si="11">IF(OR(ISNUMBER(D66)=FALSE, ISNUMBER(E66)=FALSE),0,E66/(D66^2))</f>
        <v>0</v>
      </c>
      <c r="H66">
        <f t="shared" si="4"/>
        <v>60</v>
      </c>
      <c r="I66">
        <f t="shared" si="5"/>
        <v>-33.330065679835307</v>
      </c>
      <c r="J66" t="s">
        <v>45</v>
      </c>
      <c r="K66" t="s">
        <v>201</v>
      </c>
      <c r="L66" t="s">
        <v>33</v>
      </c>
      <c r="M66">
        <v>67</v>
      </c>
      <c r="N66" s="7" t="b">
        <f t="shared" si="6"/>
        <v>1</v>
      </c>
      <c r="O66">
        <f t="shared" si="7"/>
        <v>24455</v>
      </c>
      <c r="P66" s="3">
        <f t="shared" ca="1" si="8"/>
        <v>21583</v>
      </c>
      <c r="Q66" t="s">
        <v>35</v>
      </c>
      <c r="R66" t="s">
        <v>15</v>
      </c>
      <c r="S66" t="s">
        <v>192</v>
      </c>
      <c r="T66" t="str">
        <f t="shared" si="9"/>
        <v xml:space="preserve">Attack of the Clones </v>
      </c>
    </row>
    <row r="67" spans="1:20" x14ac:dyDescent="0.6">
      <c r="A67" t="s">
        <v>202</v>
      </c>
      <c r="B67">
        <v>183</v>
      </c>
      <c r="C67" s="7">
        <f t="shared" ref="C67:C89" si="12">FLOOR(CONVERT(B67,"cm","in"), 0.5)</f>
        <v>72</v>
      </c>
      <c r="D67">
        <f t="shared" ref="D67:D88" si="13">SUM(B67 / 100)</f>
        <v>1.83</v>
      </c>
      <c r="E67">
        <v>79</v>
      </c>
      <c r="F67" s="7">
        <f t="shared" ref="F67:F89" si="14">ROUND(CONVERT(E67,"kg","lbm")/0.25,0)*0.25</f>
        <v>174.25</v>
      </c>
      <c r="G67">
        <f t="shared" si="11"/>
        <v>23.589835468362743</v>
      </c>
      <c r="H67">
        <f t="shared" ref="H67:H88" si="15">RANK(G67,$G$2:$G$88,0 )</f>
        <v>37</v>
      </c>
      <c r="I67">
        <f t="shared" ref="I67:I88" si="16">SUM(G67-$G$5)</f>
        <v>-9.7402302114725643</v>
      </c>
      <c r="J67" t="s">
        <v>45</v>
      </c>
      <c r="K67" t="s">
        <v>201</v>
      </c>
      <c r="L67" t="s">
        <v>33</v>
      </c>
      <c r="M67">
        <v>66</v>
      </c>
      <c r="N67" s="7" t="b">
        <f t="shared" ref="N67:N89" si="17">ISNUMBER($M67)</f>
        <v>1</v>
      </c>
      <c r="O67">
        <f t="shared" ref="O67:O88" si="18">SUM($M67 * 365)</f>
        <v>24090</v>
      </c>
      <c r="P67" s="3">
        <f t="shared" ref="P67:P88" ca="1" si="19">TODAY() - $O67</f>
        <v>21948</v>
      </c>
      <c r="Q67" t="s">
        <v>203</v>
      </c>
      <c r="R67" t="s">
        <v>15</v>
      </c>
      <c r="S67" t="s">
        <v>186</v>
      </c>
      <c r="T67" t="str">
        <f t="shared" ref="T67:T89" si="20">LEFT(S67,FIND(",", S67 &amp; ",") -1)</f>
        <v>Attack of the Clones</v>
      </c>
    </row>
    <row r="68" spans="1:20" x14ac:dyDescent="0.6">
      <c r="A68" t="s">
        <v>204</v>
      </c>
      <c r="B68">
        <v>168</v>
      </c>
      <c r="C68" s="7">
        <f t="shared" si="12"/>
        <v>66</v>
      </c>
      <c r="D68">
        <f t="shared" si="13"/>
        <v>1.68</v>
      </c>
      <c r="E68">
        <v>55</v>
      </c>
      <c r="F68" s="7">
        <f t="shared" si="14"/>
        <v>121.25</v>
      </c>
      <c r="G68">
        <f t="shared" si="11"/>
        <v>19.486961451247168</v>
      </c>
      <c r="H68">
        <f t="shared" si="15"/>
        <v>47</v>
      </c>
      <c r="I68">
        <f t="shared" si="16"/>
        <v>-13.843104228588139</v>
      </c>
      <c r="J68" t="s">
        <v>205</v>
      </c>
      <c r="K68" t="s">
        <v>206</v>
      </c>
      <c r="L68" t="s">
        <v>20</v>
      </c>
      <c r="M68" t="s">
        <v>18</v>
      </c>
      <c r="N68" s="7" t="b">
        <f t="shared" si="17"/>
        <v>0</v>
      </c>
      <c r="O68" t="e">
        <f t="shared" si="18"/>
        <v>#VALUE!</v>
      </c>
      <c r="P68" s="3" t="e">
        <f t="shared" ca="1" si="19"/>
        <v>#VALUE!</v>
      </c>
      <c r="Q68" t="s">
        <v>207</v>
      </c>
      <c r="R68" t="s">
        <v>208</v>
      </c>
      <c r="S68" t="s">
        <v>186</v>
      </c>
      <c r="T68" t="str">
        <f t="shared" si="20"/>
        <v>Attack of the Clones</v>
      </c>
    </row>
    <row r="69" spans="1:20" x14ac:dyDescent="0.6">
      <c r="A69" t="s">
        <v>209</v>
      </c>
      <c r="B69">
        <v>198</v>
      </c>
      <c r="C69" s="7">
        <f t="shared" si="12"/>
        <v>77.5</v>
      </c>
      <c r="D69">
        <f t="shared" si="13"/>
        <v>1.98</v>
      </c>
      <c r="E69">
        <v>102</v>
      </c>
      <c r="F69" s="7">
        <f t="shared" si="14"/>
        <v>224.75</v>
      </c>
      <c r="G69">
        <f t="shared" si="11"/>
        <v>26.017753290480563</v>
      </c>
      <c r="H69">
        <f t="shared" si="15"/>
        <v>19</v>
      </c>
      <c r="I69">
        <f t="shared" si="16"/>
        <v>-7.3123123893547444</v>
      </c>
      <c r="J69" t="s">
        <v>29</v>
      </c>
      <c r="K69" t="s">
        <v>33</v>
      </c>
      <c r="L69" t="s">
        <v>20</v>
      </c>
      <c r="M69" t="s">
        <v>18</v>
      </c>
      <c r="N69" s="7" t="b">
        <f t="shared" si="17"/>
        <v>0</v>
      </c>
      <c r="O69" t="e">
        <f t="shared" si="18"/>
        <v>#VALUE!</v>
      </c>
      <c r="P69" s="3" t="e">
        <f t="shared" ca="1" si="19"/>
        <v>#VALUE!</v>
      </c>
      <c r="Q69" t="s">
        <v>210</v>
      </c>
      <c r="R69" t="s">
        <v>211</v>
      </c>
      <c r="S69" t="s">
        <v>186</v>
      </c>
      <c r="T69" t="str">
        <f t="shared" si="20"/>
        <v>Attack of the Clones</v>
      </c>
    </row>
    <row r="70" spans="1:20" x14ac:dyDescent="0.6">
      <c r="A70" t="s">
        <v>212</v>
      </c>
      <c r="B70">
        <v>229</v>
      </c>
      <c r="C70" s="7">
        <f t="shared" si="12"/>
        <v>90</v>
      </c>
      <c r="D70">
        <f t="shared" si="13"/>
        <v>2.29</v>
      </c>
      <c r="E70">
        <v>88</v>
      </c>
      <c r="F70" s="7">
        <f t="shared" si="14"/>
        <v>194</v>
      </c>
      <c r="G70">
        <f t="shared" si="11"/>
        <v>16.780763143342039</v>
      </c>
      <c r="H70">
        <f t="shared" si="15"/>
        <v>54</v>
      </c>
      <c r="I70">
        <f t="shared" si="16"/>
        <v>-16.549302536493268</v>
      </c>
      <c r="J70" t="s">
        <v>29</v>
      </c>
      <c r="K70" t="s">
        <v>82</v>
      </c>
      <c r="L70" t="s">
        <v>45</v>
      </c>
      <c r="M70" t="s">
        <v>18</v>
      </c>
      <c r="N70" s="7" t="b">
        <f t="shared" si="17"/>
        <v>0</v>
      </c>
      <c r="O70" t="e">
        <f t="shared" si="18"/>
        <v>#VALUE!</v>
      </c>
      <c r="P70" s="3" t="e">
        <f t="shared" ca="1" si="19"/>
        <v>#VALUE!</v>
      </c>
      <c r="Q70" t="s">
        <v>86</v>
      </c>
      <c r="R70" t="s">
        <v>213</v>
      </c>
      <c r="S70" t="s">
        <v>186</v>
      </c>
      <c r="T70" t="str">
        <f t="shared" si="20"/>
        <v>Attack of the Clones</v>
      </c>
    </row>
    <row r="71" spans="1:20" x14ac:dyDescent="0.6">
      <c r="A71" t="s">
        <v>214</v>
      </c>
      <c r="B71">
        <v>213</v>
      </c>
      <c r="C71" s="7">
        <f t="shared" si="12"/>
        <v>83.5</v>
      </c>
      <c r="D71">
        <f t="shared" si="13"/>
        <v>2.13</v>
      </c>
      <c r="E71" t="s">
        <v>18</v>
      </c>
      <c r="F71" s="7" t="e">
        <f t="shared" si="14"/>
        <v>#VALUE!</v>
      </c>
      <c r="G71">
        <f t="shared" si="11"/>
        <v>0</v>
      </c>
      <c r="H71">
        <f t="shared" si="15"/>
        <v>60</v>
      </c>
      <c r="I71">
        <f t="shared" si="16"/>
        <v>-33.330065679835307</v>
      </c>
      <c r="J71" t="s">
        <v>29</v>
      </c>
      <c r="K71" t="s">
        <v>82</v>
      </c>
      <c r="L71" t="s">
        <v>45</v>
      </c>
      <c r="M71" t="s">
        <v>18</v>
      </c>
      <c r="N71" s="7" t="b">
        <f t="shared" si="17"/>
        <v>0</v>
      </c>
      <c r="O71" t="e">
        <f t="shared" si="18"/>
        <v>#VALUE!</v>
      </c>
      <c r="P71" s="3" t="e">
        <f t="shared" ca="1" si="19"/>
        <v>#VALUE!</v>
      </c>
      <c r="Q71" t="s">
        <v>86</v>
      </c>
      <c r="R71" t="s">
        <v>213</v>
      </c>
      <c r="S71" t="s">
        <v>186</v>
      </c>
      <c r="T71" t="str">
        <f t="shared" si="20"/>
        <v>Attack of the Clones</v>
      </c>
    </row>
    <row r="72" spans="1:20" x14ac:dyDescent="0.6">
      <c r="A72" t="s">
        <v>215</v>
      </c>
      <c r="B72">
        <v>167</v>
      </c>
      <c r="C72" s="7">
        <f t="shared" si="12"/>
        <v>65.5</v>
      </c>
      <c r="D72">
        <f t="shared" si="13"/>
        <v>1.67</v>
      </c>
      <c r="E72" t="s">
        <v>18</v>
      </c>
      <c r="F72" s="7" t="e">
        <f t="shared" si="14"/>
        <v>#VALUE!</v>
      </c>
      <c r="G72">
        <f t="shared" si="11"/>
        <v>0</v>
      </c>
      <c r="H72">
        <f t="shared" si="15"/>
        <v>60</v>
      </c>
      <c r="I72">
        <f t="shared" si="16"/>
        <v>-33.330065679835307</v>
      </c>
      <c r="J72" t="s">
        <v>30</v>
      </c>
      <c r="K72" t="s">
        <v>12</v>
      </c>
      <c r="L72" t="s">
        <v>13</v>
      </c>
      <c r="M72" t="s">
        <v>18</v>
      </c>
      <c r="N72" s="7" t="b">
        <f t="shared" si="17"/>
        <v>0</v>
      </c>
      <c r="O72" t="e">
        <f t="shared" si="18"/>
        <v>#VALUE!</v>
      </c>
      <c r="P72" s="3" t="e">
        <f t="shared" ca="1" si="19"/>
        <v>#VALUE!</v>
      </c>
      <c r="Q72" t="s">
        <v>123</v>
      </c>
      <c r="R72" t="s">
        <v>15</v>
      </c>
      <c r="S72" t="s">
        <v>186</v>
      </c>
      <c r="T72" t="str">
        <f t="shared" si="20"/>
        <v>Attack of the Clones</v>
      </c>
    </row>
    <row r="73" spans="1:20" x14ac:dyDescent="0.6">
      <c r="A73" t="s">
        <v>216</v>
      </c>
      <c r="B73">
        <v>79</v>
      </c>
      <c r="C73" s="7">
        <f t="shared" si="12"/>
        <v>31</v>
      </c>
      <c r="D73">
        <f t="shared" si="13"/>
        <v>0.79</v>
      </c>
      <c r="E73">
        <v>15</v>
      </c>
      <c r="F73" s="7">
        <f t="shared" si="14"/>
        <v>33</v>
      </c>
      <c r="G73">
        <f t="shared" si="11"/>
        <v>24.034609838166958</v>
      </c>
      <c r="H73">
        <f t="shared" si="15"/>
        <v>32</v>
      </c>
      <c r="I73">
        <f t="shared" si="16"/>
        <v>-9.2954558416683497</v>
      </c>
      <c r="J73" t="s">
        <v>29</v>
      </c>
      <c r="K73" t="s">
        <v>217</v>
      </c>
      <c r="L73" t="s">
        <v>57</v>
      </c>
      <c r="M73" t="s">
        <v>18</v>
      </c>
      <c r="N73" s="7" t="b">
        <f t="shared" si="17"/>
        <v>0</v>
      </c>
      <c r="O73" t="e">
        <f t="shared" si="18"/>
        <v>#VALUE!</v>
      </c>
      <c r="P73" s="3" t="e">
        <f t="shared" ca="1" si="19"/>
        <v>#VALUE!</v>
      </c>
      <c r="Q73" t="s">
        <v>218</v>
      </c>
      <c r="R73" t="s">
        <v>219</v>
      </c>
      <c r="S73" t="s">
        <v>117</v>
      </c>
      <c r="T73" t="str">
        <f t="shared" si="20"/>
        <v>The Phantom Menace</v>
      </c>
    </row>
    <row r="74" spans="1:20" x14ac:dyDescent="0.6">
      <c r="A74" t="s">
        <v>220</v>
      </c>
      <c r="B74">
        <v>96</v>
      </c>
      <c r="C74" s="7">
        <f t="shared" si="12"/>
        <v>37.5</v>
      </c>
      <c r="D74">
        <f t="shared" si="13"/>
        <v>0.96</v>
      </c>
      <c r="E74" t="s">
        <v>18</v>
      </c>
      <c r="F74" s="7" t="e">
        <f t="shared" si="14"/>
        <v>#VALUE!</v>
      </c>
      <c r="G74">
        <f t="shared" si="11"/>
        <v>0</v>
      </c>
      <c r="H74">
        <f t="shared" si="15"/>
        <v>60</v>
      </c>
      <c r="I74">
        <f t="shared" si="16"/>
        <v>-33.330065679835307</v>
      </c>
      <c r="J74" t="s">
        <v>29</v>
      </c>
      <c r="K74" t="s">
        <v>221</v>
      </c>
      <c r="L74" t="s">
        <v>222</v>
      </c>
      <c r="M74" t="s">
        <v>18</v>
      </c>
      <c r="N74" s="7" t="b">
        <f t="shared" si="17"/>
        <v>0</v>
      </c>
      <c r="O74" t="e">
        <f t="shared" si="18"/>
        <v>#VALUE!</v>
      </c>
      <c r="P74" s="3" t="e">
        <f t="shared" ca="1" si="19"/>
        <v>#VALUE!</v>
      </c>
      <c r="Q74" t="s">
        <v>18</v>
      </c>
      <c r="R74" t="s">
        <v>18</v>
      </c>
      <c r="S74" t="s">
        <v>192</v>
      </c>
      <c r="T74" t="str">
        <f t="shared" si="20"/>
        <v xml:space="preserve">Attack of the Clones </v>
      </c>
    </row>
    <row r="75" spans="1:20" x14ac:dyDescent="0.6">
      <c r="A75" t="s">
        <v>223</v>
      </c>
      <c r="B75">
        <v>193</v>
      </c>
      <c r="C75" s="7">
        <f t="shared" si="12"/>
        <v>75.5</v>
      </c>
      <c r="D75">
        <f t="shared" si="13"/>
        <v>1.93</v>
      </c>
      <c r="E75">
        <v>48</v>
      </c>
      <c r="F75" s="7">
        <f t="shared" si="14"/>
        <v>105.75</v>
      </c>
      <c r="G75">
        <f t="shared" si="11"/>
        <v>12.886251979918924</v>
      </c>
      <c r="H75">
        <f t="shared" si="15"/>
        <v>59</v>
      </c>
      <c r="I75">
        <f t="shared" si="16"/>
        <v>-20.443813699916383</v>
      </c>
      <c r="J75" t="s">
        <v>29</v>
      </c>
      <c r="K75" t="s">
        <v>224</v>
      </c>
      <c r="L75" t="s">
        <v>57</v>
      </c>
      <c r="M75" t="s">
        <v>18</v>
      </c>
      <c r="N75" s="7" t="b">
        <f t="shared" si="17"/>
        <v>0</v>
      </c>
      <c r="O75" t="e">
        <f t="shared" si="18"/>
        <v>#VALUE!</v>
      </c>
      <c r="P75" s="3" t="e">
        <f t="shared" ca="1" si="19"/>
        <v>#VALUE!</v>
      </c>
      <c r="Q75" t="s">
        <v>225</v>
      </c>
      <c r="R75" t="s">
        <v>226</v>
      </c>
      <c r="S75" t="s">
        <v>186</v>
      </c>
      <c r="T75" t="str">
        <f t="shared" si="20"/>
        <v>Attack of the Clones</v>
      </c>
    </row>
    <row r="76" spans="1:20" x14ac:dyDescent="0.6">
      <c r="A76" t="s">
        <v>227</v>
      </c>
      <c r="B76">
        <v>191</v>
      </c>
      <c r="C76" s="7">
        <f t="shared" si="12"/>
        <v>75</v>
      </c>
      <c r="D76">
        <f t="shared" si="13"/>
        <v>1.91</v>
      </c>
      <c r="E76" t="s">
        <v>18</v>
      </c>
      <c r="F76" s="7" t="e">
        <f t="shared" si="14"/>
        <v>#VALUE!</v>
      </c>
      <c r="G76">
        <f t="shared" si="11"/>
        <v>0</v>
      </c>
      <c r="H76">
        <f t="shared" si="15"/>
        <v>60</v>
      </c>
      <c r="I76">
        <f t="shared" si="16"/>
        <v>-33.330065679835307</v>
      </c>
      <c r="J76" t="s">
        <v>29</v>
      </c>
      <c r="K76" t="s">
        <v>82</v>
      </c>
      <c r="L76" t="s">
        <v>19</v>
      </c>
      <c r="M76" t="s">
        <v>18</v>
      </c>
      <c r="N76" s="7" t="b">
        <f t="shared" si="17"/>
        <v>0</v>
      </c>
      <c r="O76" t="e">
        <f t="shared" si="18"/>
        <v>#VALUE!</v>
      </c>
      <c r="P76" s="3" t="e">
        <f t="shared" ca="1" si="19"/>
        <v>#VALUE!</v>
      </c>
      <c r="Q76" t="s">
        <v>228</v>
      </c>
      <c r="R76" t="s">
        <v>229</v>
      </c>
      <c r="S76" t="s">
        <v>186</v>
      </c>
      <c r="T76" t="str">
        <f t="shared" si="20"/>
        <v>Attack of the Clones</v>
      </c>
    </row>
    <row r="77" spans="1:20" x14ac:dyDescent="0.6">
      <c r="A77" t="s">
        <v>230</v>
      </c>
      <c r="B77">
        <v>178</v>
      </c>
      <c r="C77" s="7">
        <f t="shared" si="12"/>
        <v>70</v>
      </c>
      <c r="D77">
        <f t="shared" si="13"/>
        <v>1.78</v>
      </c>
      <c r="E77">
        <v>57</v>
      </c>
      <c r="F77" s="7">
        <f t="shared" si="14"/>
        <v>125.75</v>
      </c>
      <c r="G77">
        <f t="shared" si="11"/>
        <v>17.99015275849009</v>
      </c>
      <c r="H77">
        <f t="shared" si="15"/>
        <v>51</v>
      </c>
      <c r="I77">
        <f t="shared" si="16"/>
        <v>-15.339912921345217</v>
      </c>
      <c r="J77" t="s">
        <v>29</v>
      </c>
      <c r="K77" t="s">
        <v>231</v>
      </c>
      <c r="L77" t="s">
        <v>45</v>
      </c>
      <c r="M77" t="s">
        <v>18</v>
      </c>
      <c r="N77" s="7" t="b">
        <f t="shared" si="17"/>
        <v>0</v>
      </c>
      <c r="O77" t="e">
        <f t="shared" si="18"/>
        <v>#VALUE!</v>
      </c>
      <c r="P77" s="3" t="e">
        <f t="shared" ca="1" si="19"/>
        <v>#VALUE!</v>
      </c>
      <c r="Q77" t="s">
        <v>232</v>
      </c>
      <c r="R77" t="s">
        <v>233</v>
      </c>
      <c r="S77" t="s">
        <v>192</v>
      </c>
      <c r="T77" t="str">
        <f t="shared" si="20"/>
        <v xml:space="preserve">Attack of the Clones </v>
      </c>
    </row>
    <row r="78" spans="1:20" x14ac:dyDescent="0.6">
      <c r="A78" t="s">
        <v>234</v>
      </c>
      <c r="B78">
        <v>216</v>
      </c>
      <c r="C78" s="7">
        <f t="shared" si="12"/>
        <v>85</v>
      </c>
      <c r="D78">
        <f t="shared" si="13"/>
        <v>2.16</v>
      </c>
      <c r="E78">
        <v>159</v>
      </c>
      <c r="F78" s="7">
        <f t="shared" si="14"/>
        <v>350.5</v>
      </c>
      <c r="G78">
        <f t="shared" si="11"/>
        <v>34.079218106995881</v>
      </c>
      <c r="H78">
        <f t="shared" si="15"/>
        <v>7</v>
      </c>
      <c r="I78">
        <f t="shared" si="16"/>
        <v>0.74915242716057406</v>
      </c>
      <c r="J78" t="s">
        <v>29</v>
      </c>
      <c r="K78" t="s">
        <v>235</v>
      </c>
      <c r="L78" t="s">
        <v>236</v>
      </c>
      <c r="M78" t="s">
        <v>18</v>
      </c>
      <c r="N78" s="7" t="b">
        <f t="shared" si="17"/>
        <v>0</v>
      </c>
      <c r="O78" t="e">
        <f t="shared" si="18"/>
        <v>#VALUE!</v>
      </c>
      <c r="P78" s="3" t="e">
        <f t="shared" ca="1" si="19"/>
        <v>#VALUE!</v>
      </c>
      <c r="Q78" t="s">
        <v>237</v>
      </c>
      <c r="R78" t="s">
        <v>238</v>
      </c>
      <c r="S78" t="s">
        <v>239</v>
      </c>
      <c r="T78" t="str">
        <f t="shared" si="20"/>
        <v>Revenge of the Sith</v>
      </c>
    </row>
    <row r="79" spans="1:20" x14ac:dyDescent="0.6">
      <c r="A79" t="s">
        <v>240</v>
      </c>
      <c r="B79">
        <v>234</v>
      </c>
      <c r="C79" s="7">
        <f t="shared" si="12"/>
        <v>92</v>
      </c>
      <c r="D79">
        <f t="shared" si="13"/>
        <v>2.34</v>
      </c>
      <c r="E79">
        <v>136</v>
      </c>
      <c r="F79" s="7">
        <f t="shared" si="14"/>
        <v>299.75</v>
      </c>
      <c r="G79">
        <f t="shared" si="11"/>
        <v>24.837460734896638</v>
      </c>
      <c r="H79">
        <f t="shared" si="15"/>
        <v>26</v>
      </c>
      <c r="I79">
        <f t="shared" si="16"/>
        <v>-8.4926049449386696</v>
      </c>
      <c r="J79" t="s">
        <v>33</v>
      </c>
      <c r="K79" t="s">
        <v>33</v>
      </c>
      <c r="L79" t="s">
        <v>13</v>
      </c>
      <c r="M79" t="s">
        <v>18</v>
      </c>
      <c r="N79" s="7" t="b">
        <f t="shared" si="17"/>
        <v>0</v>
      </c>
      <c r="O79" t="e">
        <f t="shared" si="18"/>
        <v>#VALUE!</v>
      </c>
      <c r="P79" s="3" t="e">
        <f t="shared" ca="1" si="19"/>
        <v>#VALUE!</v>
      </c>
      <c r="Q79" t="s">
        <v>58</v>
      </c>
      <c r="R79" t="s">
        <v>59</v>
      </c>
      <c r="S79" t="s">
        <v>239</v>
      </c>
      <c r="T79" t="str">
        <f t="shared" si="20"/>
        <v>Revenge of the Sith</v>
      </c>
    </row>
    <row r="80" spans="1:20" x14ac:dyDescent="0.6">
      <c r="A80" t="s">
        <v>241</v>
      </c>
      <c r="B80">
        <v>188</v>
      </c>
      <c r="C80" s="7">
        <f t="shared" si="12"/>
        <v>74</v>
      </c>
      <c r="D80">
        <f t="shared" si="13"/>
        <v>1.88</v>
      </c>
      <c r="E80">
        <v>79</v>
      </c>
      <c r="F80" s="7">
        <f t="shared" si="14"/>
        <v>174.25</v>
      </c>
      <c r="G80">
        <f t="shared" si="11"/>
        <v>22.351742870076958</v>
      </c>
      <c r="H80">
        <f t="shared" si="15"/>
        <v>42</v>
      </c>
      <c r="I80">
        <f t="shared" si="16"/>
        <v>-10.97832280975835</v>
      </c>
      <c r="J80" t="s">
        <v>33</v>
      </c>
      <c r="K80" t="s">
        <v>34</v>
      </c>
      <c r="L80" t="s">
        <v>33</v>
      </c>
      <c r="M80" t="s">
        <v>18</v>
      </c>
      <c r="N80" s="7" t="b">
        <f t="shared" si="17"/>
        <v>0</v>
      </c>
      <c r="O80" t="e">
        <f t="shared" si="18"/>
        <v>#VALUE!</v>
      </c>
      <c r="P80" s="3" t="e">
        <f t="shared" ca="1" si="19"/>
        <v>#VALUE!</v>
      </c>
      <c r="Q80" t="s">
        <v>35</v>
      </c>
      <c r="R80" t="s">
        <v>15</v>
      </c>
      <c r="S80" t="s">
        <v>55</v>
      </c>
      <c r="T80" t="str">
        <f t="shared" si="20"/>
        <v xml:space="preserve">Revenge of the Sith </v>
      </c>
    </row>
    <row r="81" spans="1:20" x14ac:dyDescent="0.6">
      <c r="A81" t="s">
        <v>242</v>
      </c>
      <c r="B81">
        <v>178</v>
      </c>
      <c r="C81" s="7">
        <f t="shared" si="12"/>
        <v>70</v>
      </c>
      <c r="D81">
        <f t="shared" si="13"/>
        <v>1.78</v>
      </c>
      <c r="E81">
        <v>48</v>
      </c>
      <c r="F81" s="7">
        <f t="shared" si="14"/>
        <v>105.75</v>
      </c>
      <c r="G81">
        <f t="shared" si="11"/>
        <v>15.149602322939023</v>
      </c>
      <c r="H81">
        <f t="shared" si="15"/>
        <v>57</v>
      </c>
      <c r="I81">
        <f t="shared" si="16"/>
        <v>-18.180463356896283</v>
      </c>
      <c r="J81" t="s">
        <v>29</v>
      </c>
      <c r="K81" t="s">
        <v>83</v>
      </c>
      <c r="L81" t="s">
        <v>30</v>
      </c>
      <c r="M81" t="s">
        <v>18</v>
      </c>
      <c r="N81" s="7" t="b">
        <f t="shared" si="17"/>
        <v>0</v>
      </c>
      <c r="O81" t="e">
        <f t="shared" si="18"/>
        <v>#VALUE!</v>
      </c>
      <c r="P81" s="3" t="e">
        <f t="shared" ca="1" si="19"/>
        <v>#VALUE!</v>
      </c>
      <c r="Q81" t="s">
        <v>243</v>
      </c>
      <c r="R81" t="s">
        <v>18</v>
      </c>
      <c r="S81" t="s">
        <v>192</v>
      </c>
      <c r="T81" t="str">
        <f t="shared" si="20"/>
        <v xml:space="preserve">Attack of the Clones </v>
      </c>
    </row>
    <row r="82" spans="1:20" x14ac:dyDescent="0.6">
      <c r="A82" t="s">
        <v>244</v>
      </c>
      <c r="B82">
        <v>206</v>
      </c>
      <c r="C82" s="7">
        <f t="shared" si="12"/>
        <v>81</v>
      </c>
      <c r="D82">
        <f t="shared" si="13"/>
        <v>2.06</v>
      </c>
      <c r="E82">
        <v>80</v>
      </c>
      <c r="F82" s="7">
        <f t="shared" si="14"/>
        <v>176.25</v>
      </c>
      <c r="G82">
        <f t="shared" si="11"/>
        <v>18.851918182675089</v>
      </c>
      <c r="H82">
        <f t="shared" si="15"/>
        <v>49</v>
      </c>
      <c r="I82">
        <f t="shared" si="16"/>
        <v>-14.478147497160219</v>
      </c>
      <c r="J82" t="s">
        <v>29</v>
      </c>
      <c r="K82" t="s">
        <v>82</v>
      </c>
      <c r="L82" t="s">
        <v>45</v>
      </c>
      <c r="M82" t="s">
        <v>18</v>
      </c>
      <c r="N82" s="7" t="b">
        <f t="shared" si="17"/>
        <v>0</v>
      </c>
      <c r="O82" t="e">
        <f t="shared" si="18"/>
        <v>#VALUE!</v>
      </c>
      <c r="P82" s="3" t="e">
        <f t="shared" ca="1" si="19"/>
        <v>#VALUE!</v>
      </c>
      <c r="Q82" t="s">
        <v>245</v>
      </c>
      <c r="R82" t="s">
        <v>246</v>
      </c>
      <c r="S82" t="s">
        <v>239</v>
      </c>
      <c r="T82" t="str">
        <f t="shared" si="20"/>
        <v>Revenge of the Sith</v>
      </c>
    </row>
    <row r="83" spans="1:20" x14ac:dyDescent="0.6">
      <c r="A83" t="s">
        <v>247</v>
      </c>
      <c r="B83" t="s">
        <v>18</v>
      </c>
      <c r="C83" s="7" t="e">
        <f t="shared" si="12"/>
        <v>#VALUE!</v>
      </c>
      <c r="D83" t="e">
        <f t="shared" si="13"/>
        <v>#VALUE!</v>
      </c>
      <c r="E83" t="s">
        <v>18</v>
      </c>
      <c r="F83" s="7" t="e">
        <f t="shared" si="14"/>
        <v>#VALUE!</v>
      </c>
      <c r="G83">
        <f t="shared" si="11"/>
        <v>0</v>
      </c>
      <c r="H83">
        <f t="shared" si="15"/>
        <v>60</v>
      </c>
      <c r="I83">
        <f t="shared" si="16"/>
        <v>-33.330065679835307</v>
      </c>
      <c r="J83" t="s">
        <v>45</v>
      </c>
      <c r="K83" t="s">
        <v>95</v>
      </c>
      <c r="L83" t="s">
        <v>95</v>
      </c>
      <c r="M83" t="s">
        <v>18</v>
      </c>
      <c r="N83" s="7" t="b">
        <f t="shared" si="17"/>
        <v>0</v>
      </c>
      <c r="O83" t="e">
        <f t="shared" si="18"/>
        <v>#VALUE!</v>
      </c>
      <c r="P83" s="3" t="e">
        <f t="shared" ca="1" si="19"/>
        <v>#VALUE!</v>
      </c>
      <c r="Q83" t="s">
        <v>18</v>
      </c>
      <c r="R83" t="s">
        <v>15</v>
      </c>
      <c r="S83" t="s">
        <v>248</v>
      </c>
      <c r="T83" t="str">
        <f t="shared" si="20"/>
        <v>The Force Awakens</v>
      </c>
    </row>
    <row r="84" spans="1:20" x14ac:dyDescent="0.6">
      <c r="A84" t="s">
        <v>249</v>
      </c>
      <c r="B84" t="s">
        <v>18</v>
      </c>
      <c r="C84" s="7" t="e">
        <f t="shared" si="12"/>
        <v>#VALUE!</v>
      </c>
      <c r="D84" t="e">
        <f t="shared" si="13"/>
        <v>#VALUE!</v>
      </c>
      <c r="E84" t="s">
        <v>18</v>
      </c>
      <c r="F84" s="7" t="e">
        <f t="shared" si="14"/>
        <v>#VALUE!</v>
      </c>
      <c r="G84">
        <f t="shared" si="11"/>
        <v>0</v>
      </c>
      <c r="H84">
        <f t="shared" si="15"/>
        <v>60</v>
      </c>
      <c r="I84">
        <f t="shared" si="16"/>
        <v>-33.330065679835307</v>
      </c>
      <c r="J84" t="s">
        <v>33</v>
      </c>
      <c r="K84" t="s">
        <v>34</v>
      </c>
      <c r="L84" t="s">
        <v>74</v>
      </c>
      <c r="M84" t="s">
        <v>18</v>
      </c>
      <c r="N84" s="7" t="b">
        <f t="shared" si="17"/>
        <v>0</v>
      </c>
      <c r="O84" t="e">
        <f t="shared" si="18"/>
        <v>#VALUE!</v>
      </c>
      <c r="P84" s="3" t="e">
        <f t="shared" ca="1" si="19"/>
        <v>#VALUE!</v>
      </c>
      <c r="Q84" t="s">
        <v>18</v>
      </c>
      <c r="R84" t="s">
        <v>15</v>
      </c>
      <c r="S84" t="s">
        <v>248</v>
      </c>
      <c r="T84" t="str">
        <f t="shared" si="20"/>
        <v>The Force Awakens</v>
      </c>
    </row>
    <row r="85" spans="1:20" x14ac:dyDescent="0.6">
      <c r="A85" t="s">
        <v>250</v>
      </c>
      <c r="B85" t="s">
        <v>18</v>
      </c>
      <c r="C85" s="7" t="e">
        <f t="shared" si="12"/>
        <v>#VALUE!</v>
      </c>
      <c r="D85" t="e">
        <f t="shared" si="13"/>
        <v>#VALUE!</v>
      </c>
      <c r="E85" t="s">
        <v>18</v>
      </c>
      <c r="F85" s="7" t="e">
        <f t="shared" si="14"/>
        <v>#VALUE!</v>
      </c>
      <c r="G85">
        <f t="shared" si="11"/>
        <v>0</v>
      </c>
      <c r="H85">
        <f t="shared" si="15"/>
        <v>60</v>
      </c>
      <c r="I85">
        <f t="shared" si="16"/>
        <v>-33.330065679835307</v>
      </c>
      <c r="J85" t="s">
        <v>33</v>
      </c>
      <c r="K85" t="s">
        <v>34</v>
      </c>
      <c r="L85" t="s">
        <v>33</v>
      </c>
      <c r="M85" t="s">
        <v>18</v>
      </c>
      <c r="N85" s="7" t="b">
        <f t="shared" si="17"/>
        <v>0</v>
      </c>
      <c r="O85" t="e">
        <f t="shared" si="18"/>
        <v>#VALUE!</v>
      </c>
      <c r="P85" s="3" t="e">
        <f t="shared" ca="1" si="19"/>
        <v>#VALUE!</v>
      </c>
      <c r="Q85" t="s">
        <v>18</v>
      </c>
      <c r="R85" t="s">
        <v>15</v>
      </c>
      <c r="S85" t="s">
        <v>248</v>
      </c>
      <c r="T85" t="str">
        <f t="shared" si="20"/>
        <v>The Force Awakens</v>
      </c>
    </row>
    <row r="86" spans="1:20" x14ac:dyDescent="0.6">
      <c r="A86" t="s">
        <v>251</v>
      </c>
      <c r="B86" t="s">
        <v>18</v>
      </c>
      <c r="C86" s="7" t="e">
        <f t="shared" si="12"/>
        <v>#VALUE!</v>
      </c>
      <c r="D86" t="e">
        <f t="shared" si="13"/>
        <v>#VALUE!</v>
      </c>
      <c r="E86" t="s">
        <v>18</v>
      </c>
      <c r="F86" s="7" t="e">
        <f t="shared" si="14"/>
        <v>#VALUE!</v>
      </c>
      <c r="G86">
        <f t="shared" si="11"/>
        <v>0</v>
      </c>
      <c r="H86">
        <f t="shared" si="15"/>
        <v>60</v>
      </c>
      <c r="I86">
        <f t="shared" si="16"/>
        <v>-33.330065679835307</v>
      </c>
      <c r="J86" t="s">
        <v>29</v>
      </c>
      <c r="K86" t="s">
        <v>29</v>
      </c>
      <c r="L86" t="s">
        <v>45</v>
      </c>
      <c r="M86" t="s">
        <v>18</v>
      </c>
      <c r="N86" s="7" t="b">
        <f t="shared" si="17"/>
        <v>0</v>
      </c>
      <c r="O86" t="e">
        <f t="shared" si="18"/>
        <v>#VALUE!</v>
      </c>
      <c r="P86" s="3" t="e">
        <f t="shared" ca="1" si="19"/>
        <v>#VALUE!</v>
      </c>
      <c r="Q86" t="s">
        <v>18</v>
      </c>
      <c r="R86" t="s">
        <v>21</v>
      </c>
      <c r="S86" t="s">
        <v>248</v>
      </c>
      <c r="T86" t="str">
        <f t="shared" si="20"/>
        <v>The Force Awakens</v>
      </c>
    </row>
    <row r="87" spans="1:20" x14ac:dyDescent="0.6">
      <c r="A87" t="s">
        <v>252</v>
      </c>
      <c r="B87" t="s">
        <v>18</v>
      </c>
      <c r="C87" s="7" t="e">
        <f t="shared" si="12"/>
        <v>#VALUE!</v>
      </c>
      <c r="D87" t="e">
        <f t="shared" si="13"/>
        <v>#VALUE!</v>
      </c>
      <c r="E87" t="s">
        <v>18</v>
      </c>
      <c r="F87" s="7" t="e">
        <f t="shared" si="14"/>
        <v>#VALUE!</v>
      </c>
      <c r="G87">
        <f t="shared" si="11"/>
        <v>0</v>
      </c>
      <c r="H87">
        <f t="shared" si="15"/>
        <v>60</v>
      </c>
      <c r="I87">
        <f t="shared" si="16"/>
        <v>-33.330065679835307</v>
      </c>
      <c r="J87" t="s">
        <v>57</v>
      </c>
      <c r="K87" t="s">
        <v>57</v>
      </c>
      <c r="L87" t="s">
        <v>57</v>
      </c>
      <c r="M87" t="s">
        <v>18</v>
      </c>
      <c r="N87" s="7" t="b">
        <f t="shared" si="17"/>
        <v>0</v>
      </c>
      <c r="O87" t="e">
        <f t="shared" si="18"/>
        <v>#VALUE!</v>
      </c>
      <c r="P87" s="3" t="e">
        <f t="shared" ca="1" si="19"/>
        <v>#VALUE!</v>
      </c>
      <c r="Q87" t="s">
        <v>18</v>
      </c>
      <c r="R87" t="s">
        <v>18</v>
      </c>
      <c r="S87" t="s">
        <v>248</v>
      </c>
      <c r="T87" t="str">
        <f t="shared" si="20"/>
        <v>The Force Awakens</v>
      </c>
    </row>
    <row r="88" spans="1:20" x14ac:dyDescent="0.6">
      <c r="A88" t="s">
        <v>253</v>
      </c>
      <c r="B88">
        <v>165</v>
      </c>
      <c r="C88" s="7">
        <f t="shared" si="12"/>
        <v>64.5</v>
      </c>
      <c r="D88">
        <f t="shared" si="13"/>
        <v>1.65</v>
      </c>
      <c r="E88">
        <v>45</v>
      </c>
      <c r="F88" s="7">
        <f t="shared" si="14"/>
        <v>99.25</v>
      </c>
      <c r="G88">
        <f t="shared" si="11"/>
        <v>16.528925619834713</v>
      </c>
      <c r="H88">
        <f t="shared" si="15"/>
        <v>55</v>
      </c>
      <c r="I88">
        <f t="shared" si="16"/>
        <v>-16.801140060000595</v>
      </c>
      <c r="J88" t="s">
        <v>33</v>
      </c>
      <c r="K88" t="s">
        <v>34</v>
      </c>
      <c r="L88" t="s">
        <v>33</v>
      </c>
      <c r="M88">
        <v>46</v>
      </c>
      <c r="N88" s="7" t="b">
        <f t="shared" si="17"/>
        <v>1</v>
      </c>
      <c r="O88">
        <f t="shared" si="18"/>
        <v>16790</v>
      </c>
      <c r="P88" s="3">
        <f t="shared" ca="1" si="19"/>
        <v>29248</v>
      </c>
      <c r="Q88" t="s">
        <v>26</v>
      </c>
      <c r="R88" t="s">
        <v>15</v>
      </c>
      <c r="S88" t="s">
        <v>51</v>
      </c>
      <c r="T88" t="str">
        <f t="shared" si="20"/>
        <v xml:space="preserve">Attack of the Clones </v>
      </c>
    </row>
    <row r="89" spans="1:20" x14ac:dyDescent="0.6">
      <c r="G89" s="7"/>
      <c r="H89" s="6"/>
      <c r="P89" s="4"/>
      <c r="T89" t="str">
        <f t="shared" si="20"/>
        <v/>
      </c>
    </row>
    <row r="90" spans="1:20" x14ac:dyDescent="0.6">
      <c r="P90" s="3"/>
    </row>
    <row r="92" spans="1:20" x14ac:dyDescent="0.6">
      <c r="B92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056B-8EE2-4531-AA9B-BD265C724C5B}">
  <dimension ref="A1:Y90"/>
  <sheetViews>
    <sheetView tabSelected="1" topLeftCell="A79" workbookViewId="0">
      <selection activeCell="C89" sqref="C89"/>
    </sheetView>
  </sheetViews>
  <sheetFormatPr defaultRowHeight="15.6" x14ac:dyDescent="0.6"/>
  <cols>
    <col min="7" max="7" width="8.796875" style="7"/>
  </cols>
  <sheetData>
    <row r="1" spans="1:25" x14ac:dyDescent="0.6">
      <c r="A1" t="s">
        <v>0</v>
      </c>
      <c r="B1" t="s">
        <v>283</v>
      </c>
      <c r="C1" t="s">
        <v>1</v>
      </c>
      <c r="D1" s="5" t="s">
        <v>282</v>
      </c>
      <c r="E1" s="5" t="s">
        <v>294</v>
      </c>
      <c r="F1" s="5" t="s">
        <v>295</v>
      </c>
      <c r="G1" s="7" t="s">
        <v>292</v>
      </c>
      <c r="H1" s="7" t="s">
        <v>275</v>
      </c>
      <c r="I1" t="s">
        <v>264</v>
      </c>
      <c r="J1" t="s">
        <v>2</v>
      </c>
      <c r="K1" s="7" t="s">
        <v>276</v>
      </c>
      <c r="L1" t="s">
        <v>265</v>
      </c>
      <c r="M1" t="s">
        <v>267</v>
      </c>
      <c r="N1" t="s">
        <v>266</v>
      </c>
      <c r="O1" t="s">
        <v>3</v>
      </c>
      <c r="P1" t="s">
        <v>4</v>
      </c>
      <c r="Q1" t="s">
        <v>5</v>
      </c>
      <c r="R1" t="s">
        <v>6</v>
      </c>
      <c r="S1" s="7" t="s">
        <v>274</v>
      </c>
      <c r="T1" t="s">
        <v>272</v>
      </c>
      <c r="U1" t="s">
        <v>271</v>
      </c>
      <c r="V1" t="s">
        <v>7</v>
      </c>
      <c r="W1" t="s">
        <v>8</v>
      </c>
      <c r="X1" t="s">
        <v>9</v>
      </c>
      <c r="Y1" t="s">
        <v>273</v>
      </c>
    </row>
    <row r="2" spans="1:25" x14ac:dyDescent="0.6">
      <c r="A2" t="s">
        <v>78</v>
      </c>
      <c r="B2">
        <v>1</v>
      </c>
      <c r="C2">
        <v>66</v>
      </c>
      <c r="D2" s="5">
        <f>SUM($C$2:$C$82)/COUNT($C$2:$C$82)</f>
        <v>174.35802469135803</v>
      </c>
      <c r="E2" s="5">
        <f>SUM(C2-D2)</f>
        <v>-108.35802469135803</v>
      </c>
      <c r="F2" s="5">
        <f>SUM(E2^2)</f>
        <v>11741.461515012956</v>
      </c>
      <c r="G2" s="7" t="b">
        <f>COUNTIF($C$2:$C$82,C2)&gt;1</f>
        <v>0</v>
      </c>
      <c r="H2">
        <v>25.5</v>
      </c>
      <c r="I2">
        <v>0.66</v>
      </c>
      <c r="J2">
        <v>17</v>
      </c>
      <c r="K2">
        <v>37.5</v>
      </c>
      <c r="L2">
        <v>39.026629935720841</v>
      </c>
      <c r="M2">
        <v>3</v>
      </c>
      <c r="N2">
        <v>5.6965642558855336</v>
      </c>
      <c r="O2" t="s">
        <v>30</v>
      </c>
      <c r="P2" t="s">
        <v>64</v>
      </c>
      <c r="Q2" t="s">
        <v>33</v>
      </c>
      <c r="R2">
        <v>896</v>
      </c>
      <c r="S2" t="b">
        <v>1</v>
      </c>
      <c r="T2">
        <v>327040</v>
      </c>
      <c r="U2">
        <v>-281003</v>
      </c>
      <c r="V2" t="s">
        <v>18</v>
      </c>
      <c r="W2" t="s">
        <v>79</v>
      </c>
      <c r="X2" t="s">
        <v>80</v>
      </c>
      <c r="Y2" t="s">
        <v>278</v>
      </c>
    </row>
    <row r="3" spans="1:25" x14ac:dyDescent="0.6">
      <c r="A3" t="s">
        <v>216</v>
      </c>
      <c r="B3">
        <v>2</v>
      </c>
      <c r="C3">
        <v>79</v>
      </c>
      <c r="D3" s="5">
        <f>SUM($C$2:$C$82)/COUNT($C$2:$C$82)</f>
        <v>174.35802469135803</v>
      </c>
      <c r="E3" s="5">
        <f t="shared" ref="E3:E66" si="0">SUM(C3-D3)</f>
        <v>-95.358024691358025</v>
      </c>
      <c r="F3" s="5">
        <f>SUM(E3^2)</f>
        <v>9093.1528730376467</v>
      </c>
      <c r="G3" s="7" t="b">
        <f>COUNTIF($C$2:$C$82,C3)&gt;1</f>
        <v>0</v>
      </c>
      <c r="H3">
        <v>31</v>
      </c>
      <c r="I3">
        <v>0.79</v>
      </c>
      <c r="J3">
        <v>15</v>
      </c>
      <c r="K3">
        <v>33</v>
      </c>
      <c r="L3">
        <v>24.034609838166958</v>
      </c>
      <c r="M3">
        <v>32</v>
      </c>
      <c r="N3">
        <v>-9.2954558416683497</v>
      </c>
      <c r="O3" t="s">
        <v>29</v>
      </c>
      <c r="P3" t="s">
        <v>217</v>
      </c>
      <c r="Q3" t="s">
        <v>57</v>
      </c>
      <c r="R3" t="s">
        <v>18</v>
      </c>
      <c r="S3" t="b">
        <v>0</v>
      </c>
      <c r="T3" t="e">
        <v>#VALUE!</v>
      </c>
      <c r="U3" t="e">
        <v>#VALUE!</v>
      </c>
      <c r="V3" t="s">
        <v>218</v>
      </c>
      <c r="W3" t="s">
        <v>219</v>
      </c>
      <c r="X3" t="s">
        <v>117</v>
      </c>
      <c r="Y3" t="s">
        <v>117</v>
      </c>
    </row>
    <row r="4" spans="1:25" x14ac:dyDescent="0.6">
      <c r="A4" t="s">
        <v>110</v>
      </c>
      <c r="B4">
        <v>3</v>
      </c>
      <c r="C4">
        <v>88</v>
      </c>
      <c r="D4" s="5">
        <f>SUM($C$2:$C$82)/COUNT($C$2:$C$82)</f>
        <v>174.35802469135803</v>
      </c>
      <c r="E4" s="5">
        <f t="shared" si="0"/>
        <v>-86.358024691358025</v>
      </c>
      <c r="F4" s="5">
        <f t="shared" ref="F4:F67" si="1">SUM(E4^2)</f>
        <v>7457.7084285932024</v>
      </c>
      <c r="G4" s="7" t="b">
        <f>COUNTIF($C$2:$C$82,C4)&gt;1</f>
        <v>0</v>
      </c>
      <c r="H4">
        <v>34.5</v>
      </c>
      <c r="I4">
        <v>0.88</v>
      </c>
      <c r="J4">
        <v>20</v>
      </c>
      <c r="K4">
        <v>44</v>
      </c>
      <c r="L4">
        <v>25.826446280991735</v>
      </c>
      <c r="M4">
        <v>21</v>
      </c>
      <c r="N4">
        <v>-7.503619398843572</v>
      </c>
      <c r="O4" t="s">
        <v>33</v>
      </c>
      <c r="P4" t="s">
        <v>33</v>
      </c>
      <c r="Q4" t="s">
        <v>33</v>
      </c>
      <c r="R4">
        <v>8</v>
      </c>
      <c r="S4" t="b">
        <v>1</v>
      </c>
      <c r="T4">
        <v>2920</v>
      </c>
      <c r="U4">
        <v>43117</v>
      </c>
      <c r="V4" t="s">
        <v>111</v>
      </c>
      <c r="W4" t="s">
        <v>112</v>
      </c>
      <c r="X4" t="s">
        <v>108</v>
      </c>
      <c r="Y4" t="s">
        <v>108</v>
      </c>
    </row>
    <row r="5" spans="1:25" x14ac:dyDescent="0.6">
      <c r="A5" t="s">
        <v>150</v>
      </c>
      <c r="B5">
        <v>4</v>
      </c>
      <c r="C5">
        <v>94</v>
      </c>
      <c r="D5" s="5">
        <f>SUM($C$2:$C$82)/COUNT($C$2:$C$82)</f>
        <v>174.35802469135803</v>
      </c>
      <c r="E5" s="5">
        <f t="shared" si="0"/>
        <v>-80.358024691358025</v>
      </c>
      <c r="F5" s="5">
        <f t="shared" si="1"/>
        <v>6457.4121322969058</v>
      </c>
      <c r="G5" s="7" t="b">
        <f>COUNTIF($C$2:$C$82,C5)&gt;1</f>
        <v>0</v>
      </c>
      <c r="H5">
        <v>37</v>
      </c>
      <c r="I5">
        <v>0.94</v>
      </c>
      <c r="J5">
        <v>45</v>
      </c>
      <c r="K5">
        <v>99.25</v>
      </c>
      <c r="L5">
        <v>50.928021729289277</v>
      </c>
      <c r="M5">
        <v>2</v>
      </c>
      <c r="N5">
        <v>17.59795604945397</v>
      </c>
      <c r="O5" t="s">
        <v>29</v>
      </c>
      <c r="P5" t="s">
        <v>131</v>
      </c>
      <c r="Q5" t="s">
        <v>20</v>
      </c>
      <c r="R5" t="s">
        <v>18</v>
      </c>
      <c r="S5" t="b">
        <v>0</v>
      </c>
      <c r="T5" t="e">
        <v>#VALUE!</v>
      </c>
      <c r="U5" t="e">
        <v>#VALUE!</v>
      </c>
      <c r="V5" t="s">
        <v>151</v>
      </c>
      <c r="W5" t="s">
        <v>152</v>
      </c>
      <c r="X5" t="s">
        <v>117</v>
      </c>
      <c r="Y5" t="s">
        <v>117</v>
      </c>
    </row>
    <row r="6" spans="1:25" x14ac:dyDescent="0.6">
      <c r="A6" t="s">
        <v>23</v>
      </c>
      <c r="B6">
        <v>5</v>
      </c>
      <c r="C6">
        <v>96</v>
      </c>
      <c r="D6" s="5">
        <f>SUM($C$2:$C$82)/COUNT($C$2:$C$82)</f>
        <v>174.35802469135803</v>
      </c>
      <c r="E6" s="5">
        <f t="shared" si="0"/>
        <v>-78.358024691358025</v>
      </c>
      <c r="F6" s="5">
        <f t="shared" si="1"/>
        <v>6139.980033531474</v>
      </c>
      <c r="G6" s="7" t="b">
        <f>COUNTIF($C$2:$C$82,C6)&gt;1</f>
        <v>1</v>
      </c>
      <c r="H6">
        <v>37.5</v>
      </c>
      <c r="I6">
        <v>0.96</v>
      </c>
      <c r="J6">
        <v>32</v>
      </c>
      <c r="K6">
        <v>70.5</v>
      </c>
      <c r="L6">
        <v>34.722222222222221</v>
      </c>
      <c r="M6">
        <v>6</v>
      </c>
      <c r="N6">
        <v>1.392156542386914</v>
      </c>
      <c r="O6" t="s">
        <v>18</v>
      </c>
      <c r="P6" t="s">
        <v>24</v>
      </c>
      <c r="Q6" t="s">
        <v>25</v>
      </c>
      <c r="R6">
        <v>33</v>
      </c>
      <c r="S6" t="b">
        <v>1</v>
      </c>
      <c r="T6">
        <v>12045</v>
      </c>
      <c r="U6">
        <v>33992</v>
      </c>
      <c r="V6" t="s">
        <v>26</v>
      </c>
      <c r="W6" t="s">
        <v>21</v>
      </c>
      <c r="X6" t="s">
        <v>27</v>
      </c>
      <c r="Y6" t="s">
        <v>278</v>
      </c>
    </row>
    <row r="7" spans="1:25" x14ac:dyDescent="0.6">
      <c r="A7" t="s">
        <v>220</v>
      </c>
      <c r="B7">
        <v>6</v>
      </c>
      <c r="C7">
        <v>96</v>
      </c>
      <c r="D7" s="5">
        <f>SUM($C$2:$C$82)/COUNT($C$2:$C$82)</f>
        <v>174.35802469135803</v>
      </c>
      <c r="E7" s="5">
        <f t="shared" si="0"/>
        <v>-78.358024691358025</v>
      </c>
      <c r="F7" s="5">
        <f t="shared" si="1"/>
        <v>6139.980033531474</v>
      </c>
      <c r="G7" s="7" t="b">
        <f>COUNTIF($C$2:$C$82,C7)&gt;1</f>
        <v>1</v>
      </c>
      <c r="H7">
        <v>37.5</v>
      </c>
      <c r="I7">
        <v>0.96</v>
      </c>
      <c r="J7" t="s">
        <v>18</v>
      </c>
      <c r="K7" t="e">
        <v>#VALUE!</v>
      </c>
      <c r="L7">
        <v>0</v>
      </c>
      <c r="M7">
        <v>60</v>
      </c>
      <c r="N7">
        <v>-33.330065679835307</v>
      </c>
      <c r="O7" t="s">
        <v>29</v>
      </c>
      <c r="P7" t="s">
        <v>221</v>
      </c>
      <c r="Q7" t="s">
        <v>222</v>
      </c>
      <c r="R7" t="s">
        <v>18</v>
      </c>
      <c r="S7" t="b">
        <v>0</v>
      </c>
      <c r="T7" t="e">
        <v>#VALUE!</v>
      </c>
      <c r="U7" t="e">
        <v>#VALUE!</v>
      </c>
      <c r="V7" t="s">
        <v>18</v>
      </c>
      <c r="W7" t="s">
        <v>18</v>
      </c>
      <c r="X7" t="s">
        <v>192</v>
      </c>
      <c r="Y7" t="s">
        <v>278</v>
      </c>
    </row>
    <row r="8" spans="1:25" x14ac:dyDescent="0.6">
      <c r="A8" t="s">
        <v>41</v>
      </c>
      <c r="B8">
        <v>7</v>
      </c>
      <c r="C8">
        <v>97</v>
      </c>
      <c r="D8" s="5">
        <f>SUM($C$2:$C$82)/COUNT($C$2:$C$82)</f>
        <v>174.35802469135803</v>
      </c>
      <c r="E8" s="5">
        <f t="shared" si="0"/>
        <v>-77.358024691358025</v>
      </c>
      <c r="F8" s="5">
        <f t="shared" si="1"/>
        <v>5984.263984148758</v>
      </c>
      <c r="G8" s="7" t="b">
        <f>COUNTIF($C$2:$C$82,C8)&gt;1</f>
        <v>0</v>
      </c>
      <c r="H8">
        <v>38</v>
      </c>
      <c r="I8">
        <v>0.97</v>
      </c>
      <c r="J8">
        <v>32</v>
      </c>
      <c r="K8">
        <v>70.5</v>
      </c>
      <c r="L8">
        <v>34.009990434690195</v>
      </c>
      <c r="M8">
        <v>8</v>
      </c>
      <c r="N8">
        <v>0.67992475485488768</v>
      </c>
      <c r="O8" t="s">
        <v>18</v>
      </c>
      <c r="P8" t="s">
        <v>42</v>
      </c>
      <c r="Q8" t="s">
        <v>25</v>
      </c>
      <c r="R8" t="s">
        <v>18</v>
      </c>
      <c r="S8" t="b">
        <v>0</v>
      </c>
      <c r="T8" t="e">
        <v>#VALUE!</v>
      </c>
      <c r="U8" t="e">
        <v>#VALUE!</v>
      </c>
      <c r="V8" t="s">
        <v>14</v>
      </c>
      <c r="W8" t="s">
        <v>21</v>
      </c>
      <c r="X8" t="s">
        <v>43</v>
      </c>
      <c r="Y8" t="s">
        <v>43</v>
      </c>
    </row>
    <row r="9" spans="1:25" x14ac:dyDescent="0.6">
      <c r="A9" t="s">
        <v>135</v>
      </c>
      <c r="B9">
        <v>8</v>
      </c>
      <c r="C9">
        <v>112</v>
      </c>
      <c r="D9" s="5">
        <f>SUM($C$2:$C$82)/COUNT($C$2:$C$82)</f>
        <v>174.35802469135803</v>
      </c>
      <c r="E9" s="5">
        <f t="shared" si="0"/>
        <v>-62.358024691358025</v>
      </c>
      <c r="F9" s="5">
        <f t="shared" si="1"/>
        <v>3888.5232434080172</v>
      </c>
      <c r="G9" s="7" t="b">
        <f>COUNTIF($C$2:$C$82,C9)&gt;1</f>
        <v>0</v>
      </c>
      <c r="H9">
        <v>44</v>
      </c>
      <c r="I9">
        <v>1.1200000000000001</v>
      </c>
      <c r="J9">
        <v>40</v>
      </c>
      <c r="K9">
        <v>88.25</v>
      </c>
      <c r="L9">
        <v>31.887755102040813</v>
      </c>
      <c r="M9">
        <v>11</v>
      </c>
      <c r="N9">
        <v>-1.442310577794494</v>
      </c>
      <c r="O9" t="s">
        <v>29</v>
      </c>
      <c r="P9" t="s">
        <v>136</v>
      </c>
      <c r="Q9" t="s">
        <v>69</v>
      </c>
      <c r="R9" t="s">
        <v>18</v>
      </c>
      <c r="S9" t="b">
        <v>0</v>
      </c>
      <c r="T9" t="e">
        <v>#VALUE!</v>
      </c>
      <c r="U9" t="e">
        <v>#VALUE!</v>
      </c>
      <c r="V9" t="s">
        <v>137</v>
      </c>
      <c r="W9" t="s">
        <v>138</v>
      </c>
      <c r="X9" t="s">
        <v>117</v>
      </c>
      <c r="Y9" t="s">
        <v>117</v>
      </c>
    </row>
    <row r="10" spans="1:25" x14ac:dyDescent="0.6">
      <c r="A10" t="s">
        <v>153</v>
      </c>
      <c r="B10">
        <v>9</v>
      </c>
      <c r="C10">
        <v>122</v>
      </c>
      <c r="D10" s="5">
        <f>SUM($C$2:$C$82)/COUNT($C$2:$C$82)</f>
        <v>174.35802469135803</v>
      </c>
      <c r="E10" s="5">
        <f t="shared" si="0"/>
        <v>-52.358024691358025</v>
      </c>
      <c r="F10" s="5">
        <f t="shared" si="1"/>
        <v>2741.3627495808569</v>
      </c>
      <c r="G10" s="7" t="b">
        <f>COUNTIF($C$2:$C$82,C10)&gt;1</f>
        <v>0</v>
      </c>
      <c r="H10">
        <v>48</v>
      </c>
      <c r="I10">
        <v>1.22</v>
      </c>
      <c r="J10" t="s">
        <v>18</v>
      </c>
      <c r="K10" t="e">
        <v>#VALUE!</v>
      </c>
      <c r="L10">
        <v>0</v>
      </c>
      <c r="M10">
        <v>60</v>
      </c>
      <c r="N10">
        <v>-33.330065679835307</v>
      </c>
      <c r="O10" t="s">
        <v>29</v>
      </c>
      <c r="P10" t="s">
        <v>24</v>
      </c>
      <c r="Q10" t="s">
        <v>45</v>
      </c>
      <c r="R10" t="s">
        <v>18</v>
      </c>
      <c r="S10" t="b">
        <v>0</v>
      </c>
      <c r="T10" t="e">
        <v>#VALUE!</v>
      </c>
      <c r="U10" t="e">
        <v>#VALUE!</v>
      </c>
      <c r="V10" t="s">
        <v>154</v>
      </c>
      <c r="W10" t="s">
        <v>155</v>
      </c>
      <c r="X10" t="s">
        <v>117</v>
      </c>
      <c r="Y10" t="s">
        <v>117</v>
      </c>
    </row>
    <row r="11" spans="1:25" x14ac:dyDescent="0.6">
      <c r="A11" t="s">
        <v>130</v>
      </c>
      <c r="B11">
        <v>10</v>
      </c>
      <c r="C11">
        <v>137</v>
      </c>
      <c r="D11" s="5">
        <f>SUM($C$2:$C$82)/COUNT($C$2:$C$82)</f>
        <v>174.35802469135803</v>
      </c>
      <c r="E11" s="5">
        <f t="shared" si="0"/>
        <v>-37.358024691358025</v>
      </c>
      <c r="F11" s="5">
        <f t="shared" si="1"/>
        <v>1395.622008840116</v>
      </c>
      <c r="G11" s="7" t="b">
        <f>COUNTIF($C$2:$C$82,C11)&gt;1</f>
        <v>0</v>
      </c>
      <c r="H11">
        <v>53.5</v>
      </c>
      <c r="I11">
        <v>1.37</v>
      </c>
      <c r="J11" t="s">
        <v>18</v>
      </c>
      <c r="K11" t="e">
        <v>#VALUE!</v>
      </c>
      <c r="L11">
        <v>0</v>
      </c>
      <c r="M11">
        <v>60</v>
      </c>
      <c r="N11">
        <v>-33.330065679835307</v>
      </c>
      <c r="O11" t="s">
        <v>45</v>
      </c>
      <c r="P11" t="s">
        <v>131</v>
      </c>
      <c r="Q11" t="s">
        <v>20</v>
      </c>
      <c r="R11" t="s">
        <v>18</v>
      </c>
      <c r="S11" t="b">
        <v>0</v>
      </c>
      <c r="T11" t="e">
        <v>#VALUE!</v>
      </c>
      <c r="U11" t="e">
        <v>#VALUE!</v>
      </c>
      <c r="V11" t="s">
        <v>132</v>
      </c>
      <c r="W11" t="s">
        <v>133</v>
      </c>
      <c r="X11" t="s">
        <v>134</v>
      </c>
      <c r="Y11" t="s">
        <v>281</v>
      </c>
    </row>
    <row r="12" spans="1:25" x14ac:dyDescent="0.6">
      <c r="A12" t="s">
        <v>32</v>
      </c>
      <c r="B12">
        <v>11</v>
      </c>
      <c r="C12">
        <v>150</v>
      </c>
      <c r="D12" s="5">
        <f>SUM($C$2:$C$82)/COUNT($C$2:$C$82)</f>
        <v>174.35802469135803</v>
      </c>
      <c r="E12" s="5">
        <f t="shared" si="0"/>
        <v>-24.358024691358025</v>
      </c>
      <c r="F12" s="5">
        <f t="shared" si="1"/>
        <v>593.31336686480722</v>
      </c>
      <c r="G12" s="7" t="b">
        <f>COUNTIF($C$2:$C$82,C12)&gt;1</f>
        <v>1</v>
      </c>
      <c r="H12">
        <v>59</v>
      </c>
      <c r="I12">
        <v>1.5</v>
      </c>
      <c r="J12">
        <v>49</v>
      </c>
      <c r="K12">
        <v>108</v>
      </c>
      <c r="L12">
        <v>21.777777777777779</v>
      </c>
      <c r="M12">
        <v>43</v>
      </c>
      <c r="N12">
        <v>-11.552287902057529</v>
      </c>
      <c r="O12" t="s">
        <v>33</v>
      </c>
      <c r="P12" t="s">
        <v>34</v>
      </c>
      <c r="Q12" t="s">
        <v>33</v>
      </c>
      <c r="R12">
        <v>19</v>
      </c>
      <c r="S12" t="b">
        <v>1</v>
      </c>
      <c r="T12">
        <v>6935</v>
      </c>
      <c r="U12">
        <v>39102</v>
      </c>
      <c r="V12" t="s">
        <v>35</v>
      </c>
      <c r="W12" t="s">
        <v>15</v>
      </c>
      <c r="X12" t="s">
        <v>36</v>
      </c>
      <c r="Y12" t="s">
        <v>277</v>
      </c>
    </row>
    <row r="13" spans="1:25" x14ac:dyDescent="0.6">
      <c r="A13" t="s">
        <v>105</v>
      </c>
      <c r="B13">
        <v>12</v>
      </c>
      <c r="C13">
        <v>150</v>
      </c>
      <c r="D13" s="5">
        <f>SUM($C$2:$C$82)/COUNT($C$2:$C$82)</f>
        <v>174.35802469135803</v>
      </c>
      <c r="E13" s="5">
        <f t="shared" si="0"/>
        <v>-24.358024691358025</v>
      </c>
      <c r="F13" s="5">
        <f t="shared" si="1"/>
        <v>593.31336686480722</v>
      </c>
      <c r="G13" s="7" t="b">
        <f>COUNTIF($C$2:$C$82,C13)&gt;1</f>
        <v>1</v>
      </c>
      <c r="H13">
        <v>59</v>
      </c>
      <c r="I13">
        <v>1.5</v>
      </c>
      <c r="J13" t="s">
        <v>18</v>
      </c>
      <c r="K13" t="e">
        <v>#VALUE!</v>
      </c>
      <c r="L13">
        <v>0</v>
      </c>
      <c r="M13">
        <v>60</v>
      </c>
      <c r="N13">
        <v>-33.330065679835307</v>
      </c>
      <c r="O13" t="s">
        <v>106</v>
      </c>
      <c r="P13" t="s">
        <v>12</v>
      </c>
      <c r="Q13" t="s">
        <v>13</v>
      </c>
      <c r="R13">
        <v>48</v>
      </c>
      <c r="S13" t="b">
        <v>1</v>
      </c>
      <c r="T13">
        <v>17520</v>
      </c>
      <c r="U13">
        <v>28517</v>
      </c>
      <c r="V13" t="s">
        <v>107</v>
      </c>
      <c r="W13" t="s">
        <v>15</v>
      </c>
      <c r="X13" t="s">
        <v>108</v>
      </c>
      <c r="Y13" t="s">
        <v>108</v>
      </c>
    </row>
    <row r="14" spans="1:25" x14ac:dyDescent="0.6">
      <c r="A14" t="s">
        <v>187</v>
      </c>
      <c r="B14">
        <v>13</v>
      </c>
      <c r="C14">
        <v>157</v>
      </c>
      <c r="D14" s="5">
        <f>SUM($C$2:$C$82)/COUNT($C$2:$C$82)</f>
        <v>174.35802469135803</v>
      </c>
      <c r="E14" s="5">
        <f t="shared" si="0"/>
        <v>-17.358024691358025</v>
      </c>
      <c r="F14" s="5">
        <f t="shared" si="1"/>
        <v>301.30102118579487</v>
      </c>
      <c r="G14" s="7" t="b">
        <f>COUNTIF($C$2:$C$82,C14)&gt;1</f>
        <v>0</v>
      </c>
      <c r="H14">
        <v>61.5</v>
      </c>
      <c r="I14">
        <v>1.57</v>
      </c>
      <c r="J14" t="s">
        <v>18</v>
      </c>
      <c r="K14" t="e">
        <v>#VALUE!</v>
      </c>
      <c r="L14">
        <v>0</v>
      </c>
      <c r="M14">
        <v>60</v>
      </c>
      <c r="N14">
        <v>-33.330065679835307</v>
      </c>
      <c r="O14" t="s">
        <v>33</v>
      </c>
      <c r="P14" t="s">
        <v>34</v>
      </c>
      <c r="Q14" t="s">
        <v>33</v>
      </c>
      <c r="R14" t="s">
        <v>18</v>
      </c>
      <c r="S14" t="b">
        <v>0</v>
      </c>
      <c r="T14" t="e">
        <v>#VALUE!</v>
      </c>
      <c r="U14" t="e">
        <v>#VALUE!</v>
      </c>
      <c r="V14" t="s">
        <v>26</v>
      </c>
      <c r="W14" t="s">
        <v>15</v>
      </c>
      <c r="X14" t="s">
        <v>186</v>
      </c>
      <c r="Y14" t="s">
        <v>186</v>
      </c>
    </row>
    <row r="15" spans="1:25" x14ac:dyDescent="0.6">
      <c r="A15" t="s">
        <v>113</v>
      </c>
      <c r="B15">
        <v>14</v>
      </c>
      <c r="C15">
        <v>160</v>
      </c>
      <c r="D15" s="5">
        <f>SUM($C$2:$C$82)/COUNT($C$2:$C$82)</f>
        <v>174.35802469135803</v>
      </c>
      <c r="E15" s="5">
        <f t="shared" si="0"/>
        <v>-14.358024691358025</v>
      </c>
      <c r="F15" s="5">
        <f t="shared" si="1"/>
        <v>206.15287303764671</v>
      </c>
      <c r="G15" s="7" t="b">
        <f>COUNTIF($C$2:$C$82,C15)&gt;1</f>
        <v>0</v>
      </c>
      <c r="H15">
        <v>62.5</v>
      </c>
      <c r="I15">
        <v>1.6</v>
      </c>
      <c r="J15">
        <v>68</v>
      </c>
      <c r="K15">
        <v>150</v>
      </c>
      <c r="L15">
        <v>26.562499999999996</v>
      </c>
      <c r="M15">
        <v>16</v>
      </c>
      <c r="N15">
        <v>-6.767565679835311</v>
      </c>
      <c r="O15" t="s">
        <v>29</v>
      </c>
      <c r="P15" t="s">
        <v>82</v>
      </c>
      <c r="Q15" t="s">
        <v>45</v>
      </c>
      <c r="R15" t="s">
        <v>18</v>
      </c>
      <c r="S15" t="b">
        <v>0</v>
      </c>
      <c r="T15" t="e">
        <v>#VALUE!</v>
      </c>
      <c r="U15" t="e">
        <v>#VALUE!</v>
      </c>
      <c r="V15" t="s">
        <v>114</v>
      </c>
      <c r="W15" t="s">
        <v>115</v>
      </c>
      <c r="X15" t="s">
        <v>108</v>
      </c>
      <c r="Y15" t="s">
        <v>108</v>
      </c>
    </row>
    <row r="16" spans="1:25" x14ac:dyDescent="0.6">
      <c r="A16" t="s">
        <v>140</v>
      </c>
      <c r="B16">
        <v>15</v>
      </c>
      <c r="C16">
        <v>163</v>
      </c>
      <c r="D16" s="5">
        <f>SUM($C$2:$C$82)/COUNT($C$2:$C$82)</f>
        <v>174.35802469135803</v>
      </c>
      <c r="E16" s="5">
        <f t="shared" si="0"/>
        <v>-11.358024691358025</v>
      </c>
      <c r="F16" s="5">
        <f t="shared" si="1"/>
        <v>129.00472488949856</v>
      </c>
      <c r="G16" s="7" t="b">
        <f>COUNTIF($C$2:$C$82,C16)&gt;1</f>
        <v>1</v>
      </c>
      <c r="H16">
        <v>64</v>
      </c>
      <c r="I16">
        <v>1.63</v>
      </c>
      <c r="J16" t="s">
        <v>18</v>
      </c>
      <c r="K16" t="e">
        <v>#VALUE!</v>
      </c>
      <c r="L16">
        <v>0</v>
      </c>
      <c r="M16">
        <v>60</v>
      </c>
      <c r="N16">
        <v>-33.330065679835307</v>
      </c>
      <c r="O16" t="s">
        <v>45</v>
      </c>
      <c r="P16" t="s">
        <v>12</v>
      </c>
      <c r="Q16" t="s">
        <v>33</v>
      </c>
      <c r="R16">
        <v>72</v>
      </c>
      <c r="S16" t="b">
        <v>1</v>
      </c>
      <c r="T16">
        <v>26280</v>
      </c>
      <c r="U16">
        <v>19757</v>
      </c>
      <c r="V16" t="s">
        <v>14</v>
      </c>
      <c r="W16" t="s">
        <v>15</v>
      </c>
      <c r="X16" t="s">
        <v>134</v>
      </c>
      <c r="Y16" t="s">
        <v>281</v>
      </c>
    </row>
    <row r="17" spans="1:25" x14ac:dyDescent="0.6">
      <c r="A17" t="s">
        <v>156</v>
      </c>
      <c r="B17">
        <v>16</v>
      </c>
      <c r="C17">
        <v>163</v>
      </c>
      <c r="D17" s="5">
        <f>SUM($C$2:$C$82)/COUNT($C$2:$C$82)</f>
        <v>174.35802469135803</v>
      </c>
      <c r="E17" s="5">
        <f t="shared" si="0"/>
        <v>-11.358024691358025</v>
      </c>
      <c r="F17" s="5">
        <f t="shared" si="1"/>
        <v>129.00472488949856</v>
      </c>
      <c r="G17" s="7" t="b">
        <f>COUNTIF($C$2:$C$82,C17)&gt;1</f>
        <v>1</v>
      </c>
      <c r="H17">
        <v>64</v>
      </c>
      <c r="I17">
        <v>1.63</v>
      </c>
      <c r="J17">
        <v>65</v>
      </c>
      <c r="K17">
        <v>143.25</v>
      </c>
      <c r="L17">
        <v>24.464601603372351</v>
      </c>
      <c r="M17">
        <v>31</v>
      </c>
      <c r="N17">
        <v>-8.8654640764629562</v>
      </c>
      <c r="O17" t="s">
        <v>29</v>
      </c>
      <c r="P17" t="s">
        <v>157</v>
      </c>
      <c r="Q17" t="s">
        <v>69</v>
      </c>
      <c r="R17" t="s">
        <v>18</v>
      </c>
      <c r="S17" t="b">
        <v>0</v>
      </c>
      <c r="T17" t="e">
        <v>#VALUE!</v>
      </c>
      <c r="U17" t="e">
        <v>#VALUE!</v>
      </c>
      <c r="V17" t="s">
        <v>158</v>
      </c>
      <c r="W17" t="s">
        <v>159</v>
      </c>
      <c r="X17" t="s">
        <v>117</v>
      </c>
      <c r="Y17" t="s">
        <v>117</v>
      </c>
    </row>
    <row r="18" spans="1:25" x14ac:dyDescent="0.6">
      <c r="A18" t="s">
        <v>40</v>
      </c>
      <c r="B18">
        <v>17</v>
      </c>
      <c r="C18">
        <v>165</v>
      </c>
      <c r="D18" s="5">
        <f>SUM($C$2:$C$82)/COUNT($C$2:$C$82)</f>
        <v>174.35802469135803</v>
      </c>
      <c r="E18" s="5">
        <f t="shared" si="0"/>
        <v>-9.3580246913580254</v>
      </c>
      <c r="F18" s="5">
        <f t="shared" si="1"/>
        <v>87.57262612406646</v>
      </c>
      <c r="G18" s="7" t="b">
        <f>COUNTIF($C$2:$C$82,C18)&gt;1</f>
        <v>1</v>
      </c>
      <c r="H18">
        <v>64.5</v>
      </c>
      <c r="I18">
        <v>1.65</v>
      </c>
      <c r="J18">
        <v>75</v>
      </c>
      <c r="K18">
        <v>165.25</v>
      </c>
      <c r="L18">
        <v>27.548209366391188</v>
      </c>
      <c r="M18">
        <v>13</v>
      </c>
      <c r="N18">
        <v>-5.7818563134441199</v>
      </c>
      <c r="O18" t="s">
        <v>33</v>
      </c>
      <c r="P18" t="s">
        <v>34</v>
      </c>
      <c r="Q18" t="s">
        <v>13</v>
      </c>
      <c r="R18">
        <v>47</v>
      </c>
      <c r="S18" t="b">
        <v>1</v>
      </c>
      <c r="T18">
        <v>17155</v>
      </c>
      <c r="U18">
        <v>28882</v>
      </c>
      <c r="V18" t="s">
        <v>14</v>
      </c>
      <c r="W18" t="s">
        <v>15</v>
      </c>
      <c r="X18" t="s">
        <v>39</v>
      </c>
      <c r="Y18" t="s">
        <v>278</v>
      </c>
    </row>
    <row r="19" spans="1:25" x14ac:dyDescent="0.6">
      <c r="A19" t="s">
        <v>197</v>
      </c>
      <c r="B19">
        <v>18</v>
      </c>
      <c r="C19">
        <v>165</v>
      </c>
      <c r="D19" s="5">
        <f>SUM($C$2:$C$82)/COUNT($C$2:$C$82)</f>
        <v>174.35802469135803</v>
      </c>
      <c r="E19" s="5">
        <f t="shared" si="0"/>
        <v>-9.3580246913580254</v>
      </c>
      <c r="F19" s="5">
        <f t="shared" si="1"/>
        <v>87.57262612406646</v>
      </c>
      <c r="G19" s="7" t="b">
        <f>COUNTIF($C$2:$C$82,C19)&gt;1</f>
        <v>1</v>
      </c>
      <c r="H19">
        <v>64.5</v>
      </c>
      <c r="I19">
        <v>1.65</v>
      </c>
      <c r="J19" t="s">
        <v>18</v>
      </c>
      <c r="K19" t="e">
        <v>#VALUE!</v>
      </c>
      <c r="L19">
        <v>0</v>
      </c>
      <c r="M19">
        <v>60</v>
      </c>
      <c r="N19">
        <v>-33.330065679835307</v>
      </c>
      <c r="O19" t="s">
        <v>33</v>
      </c>
      <c r="P19" t="s">
        <v>34</v>
      </c>
      <c r="Q19" t="s">
        <v>33</v>
      </c>
      <c r="R19" t="s">
        <v>18</v>
      </c>
      <c r="S19" t="b">
        <v>0</v>
      </c>
      <c r="T19" t="e">
        <v>#VALUE!</v>
      </c>
      <c r="U19" t="e">
        <v>#VALUE!</v>
      </c>
      <c r="V19" t="s">
        <v>26</v>
      </c>
      <c r="W19" t="s">
        <v>15</v>
      </c>
      <c r="X19" t="s">
        <v>186</v>
      </c>
      <c r="Y19" t="s">
        <v>186</v>
      </c>
    </row>
    <row r="20" spans="1:25" x14ac:dyDescent="0.6">
      <c r="A20" t="s">
        <v>253</v>
      </c>
      <c r="B20">
        <v>19</v>
      </c>
      <c r="C20">
        <v>165</v>
      </c>
      <c r="D20" s="5">
        <f>SUM($C$2:$C$82)/COUNT($C$2:$C$82)</f>
        <v>174.35802469135803</v>
      </c>
      <c r="E20" s="5">
        <f t="shared" si="0"/>
        <v>-9.3580246913580254</v>
      </c>
      <c r="F20" s="5">
        <f t="shared" si="1"/>
        <v>87.57262612406646</v>
      </c>
      <c r="G20" s="7" t="b">
        <f>COUNTIF($C$2:$C$82,C20)&gt;1</f>
        <v>1</v>
      </c>
      <c r="H20">
        <v>64.5</v>
      </c>
      <c r="I20">
        <v>1.65</v>
      </c>
      <c r="J20">
        <v>45</v>
      </c>
      <c r="K20">
        <v>99.25</v>
      </c>
      <c r="L20">
        <v>16.528925619834713</v>
      </c>
      <c r="M20">
        <v>55</v>
      </c>
      <c r="N20">
        <v>-16.801140060000595</v>
      </c>
      <c r="O20" t="s">
        <v>33</v>
      </c>
      <c r="P20" t="s">
        <v>34</v>
      </c>
      <c r="Q20" t="s">
        <v>33</v>
      </c>
      <c r="R20">
        <v>46</v>
      </c>
      <c r="S20" t="b">
        <v>1</v>
      </c>
      <c r="T20">
        <v>16790</v>
      </c>
      <c r="U20">
        <v>29247</v>
      </c>
      <c r="V20" t="s">
        <v>26</v>
      </c>
      <c r="W20" t="s">
        <v>15</v>
      </c>
      <c r="X20" t="s">
        <v>51</v>
      </c>
      <c r="Y20" t="s">
        <v>278</v>
      </c>
    </row>
    <row r="21" spans="1:25" x14ac:dyDescent="0.6">
      <c r="A21" t="s">
        <v>196</v>
      </c>
      <c r="B21">
        <v>20</v>
      </c>
      <c r="C21">
        <v>166</v>
      </c>
      <c r="D21" s="5">
        <f>SUM($C$2:$C$82)/COUNT($C$2:$C$82)</f>
        <v>174.35802469135803</v>
      </c>
      <c r="E21" s="5">
        <f t="shared" si="0"/>
        <v>-8.3580246913580254</v>
      </c>
      <c r="F21" s="5">
        <f t="shared" si="1"/>
        <v>69.856576741350409</v>
      </c>
      <c r="G21" s="7" t="b">
        <f>COUNTIF($C$2:$C$82,C21)&gt;1</f>
        <v>0</v>
      </c>
      <c r="H21">
        <v>65</v>
      </c>
      <c r="I21">
        <v>1.66</v>
      </c>
      <c r="J21">
        <v>50</v>
      </c>
      <c r="K21">
        <v>110.25</v>
      </c>
      <c r="L21">
        <v>18.144868631151112</v>
      </c>
      <c r="M21">
        <v>50</v>
      </c>
      <c r="N21">
        <v>-15.185197048684195</v>
      </c>
      <c r="O21" t="s">
        <v>45</v>
      </c>
      <c r="P21" t="s">
        <v>20</v>
      </c>
      <c r="Q21" t="s">
        <v>13</v>
      </c>
      <c r="R21">
        <v>40</v>
      </c>
      <c r="S21" t="b">
        <v>1</v>
      </c>
      <c r="T21">
        <v>14600</v>
      </c>
      <c r="U21">
        <v>31437</v>
      </c>
      <c r="V21" t="s">
        <v>194</v>
      </c>
      <c r="W21" t="s">
        <v>195</v>
      </c>
      <c r="X21" t="s">
        <v>186</v>
      </c>
      <c r="Y21" t="s">
        <v>186</v>
      </c>
    </row>
    <row r="22" spans="1:25" x14ac:dyDescent="0.6">
      <c r="A22" t="s">
        <v>17</v>
      </c>
      <c r="B22">
        <v>21</v>
      </c>
      <c r="C22">
        <v>167</v>
      </c>
      <c r="D22" s="5">
        <f>SUM($C$2:$C$82)/COUNT($C$2:$C$82)</f>
        <v>174.35802469135803</v>
      </c>
      <c r="E22" s="5">
        <f t="shared" si="0"/>
        <v>-7.3580246913580254</v>
      </c>
      <c r="F22" s="5">
        <f t="shared" si="1"/>
        <v>54.140527358634365</v>
      </c>
      <c r="G22" s="7" t="b">
        <f>COUNTIF($C$2:$C$82,C22)&gt;1</f>
        <v>1</v>
      </c>
      <c r="H22">
        <v>65.5</v>
      </c>
      <c r="I22">
        <v>1.67</v>
      </c>
      <c r="J22">
        <v>75</v>
      </c>
      <c r="K22">
        <v>165.25</v>
      </c>
      <c r="L22">
        <v>26.892323138154829</v>
      </c>
      <c r="M22">
        <v>14</v>
      </c>
      <c r="N22">
        <v>-6.4377425416804783</v>
      </c>
      <c r="O22" t="s">
        <v>18</v>
      </c>
      <c r="P22" t="s">
        <v>19</v>
      </c>
      <c r="Q22" t="s">
        <v>20</v>
      </c>
      <c r="R22">
        <v>112</v>
      </c>
      <c r="S22" t="b">
        <v>1</v>
      </c>
      <c r="T22">
        <v>40880</v>
      </c>
      <c r="U22">
        <v>5157</v>
      </c>
      <c r="V22" t="s">
        <v>14</v>
      </c>
      <c r="W22" t="s">
        <v>21</v>
      </c>
      <c r="X22" t="s">
        <v>22</v>
      </c>
      <c r="Y22" t="s">
        <v>278</v>
      </c>
    </row>
    <row r="23" spans="1:25" x14ac:dyDescent="0.6">
      <c r="A23" t="s">
        <v>215</v>
      </c>
      <c r="B23">
        <v>22</v>
      </c>
      <c r="C23">
        <v>167</v>
      </c>
      <c r="D23" s="5">
        <f>SUM($C$2:$C$82)/COUNT($C$2:$C$82)</f>
        <v>174.35802469135803</v>
      </c>
      <c r="E23" s="5">
        <f t="shared" si="0"/>
        <v>-7.3580246913580254</v>
      </c>
      <c r="F23" s="5">
        <f t="shared" si="1"/>
        <v>54.140527358634365</v>
      </c>
      <c r="G23" s="7" t="b">
        <f>COUNTIF($C$2:$C$82,C23)&gt;1</f>
        <v>1</v>
      </c>
      <c r="H23">
        <v>65.5</v>
      </c>
      <c r="I23">
        <v>1.67</v>
      </c>
      <c r="J23" t="s">
        <v>18</v>
      </c>
      <c r="K23" t="e">
        <v>#VALUE!</v>
      </c>
      <c r="L23">
        <v>0</v>
      </c>
      <c r="M23">
        <v>60</v>
      </c>
      <c r="N23">
        <v>-33.330065679835307</v>
      </c>
      <c r="O23" t="s">
        <v>30</v>
      </c>
      <c r="P23" t="s">
        <v>12</v>
      </c>
      <c r="Q23" t="s">
        <v>13</v>
      </c>
      <c r="R23" t="s">
        <v>18</v>
      </c>
      <c r="S23" t="b">
        <v>0</v>
      </c>
      <c r="T23" t="e">
        <v>#VALUE!</v>
      </c>
      <c r="U23" t="e">
        <v>#VALUE!</v>
      </c>
      <c r="V23" t="s">
        <v>123</v>
      </c>
      <c r="W23" t="s">
        <v>15</v>
      </c>
      <c r="X23" t="s">
        <v>186</v>
      </c>
      <c r="Y23" t="s">
        <v>186</v>
      </c>
    </row>
    <row r="24" spans="1:25" x14ac:dyDescent="0.6">
      <c r="A24" t="s">
        <v>204</v>
      </c>
      <c r="B24">
        <v>23</v>
      </c>
      <c r="C24">
        <v>168</v>
      </c>
      <c r="D24" s="5">
        <f>SUM($C$2:$C$82)/COUNT($C$2:$C$82)</f>
        <v>174.35802469135803</v>
      </c>
      <c r="E24" s="5">
        <f t="shared" si="0"/>
        <v>-6.3580246913580254</v>
      </c>
      <c r="F24" s="5">
        <f t="shared" si="1"/>
        <v>40.424477975918315</v>
      </c>
      <c r="G24" s="7" t="b">
        <f>COUNTIF($C$2:$C$82,C24)&gt;1</f>
        <v>0</v>
      </c>
      <c r="H24">
        <v>66</v>
      </c>
      <c r="I24">
        <v>1.68</v>
      </c>
      <c r="J24">
        <v>55</v>
      </c>
      <c r="K24">
        <v>121.25</v>
      </c>
      <c r="L24">
        <v>19.486961451247168</v>
      </c>
      <c r="M24">
        <v>47</v>
      </c>
      <c r="N24">
        <v>-13.843104228588139</v>
      </c>
      <c r="O24" t="s">
        <v>205</v>
      </c>
      <c r="P24" t="s">
        <v>206</v>
      </c>
      <c r="Q24" t="s">
        <v>20</v>
      </c>
      <c r="R24" t="s">
        <v>18</v>
      </c>
      <c r="S24" t="b">
        <v>0</v>
      </c>
      <c r="T24" t="e">
        <v>#VALUE!</v>
      </c>
      <c r="U24" t="e">
        <v>#VALUE!</v>
      </c>
      <c r="V24" t="s">
        <v>207</v>
      </c>
      <c r="W24" t="s">
        <v>208</v>
      </c>
      <c r="X24" t="s">
        <v>186</v>
      </c>
      <c r="Y24" t="s">
        <v>186</v>
      </c>
    </row>
    <row r="25" spans="1:25" x14ac:dyDescent="0.6">
      <c r="A25" t="s">
        <v>73</v>
      </c>
      <c r="B25">
        <v>24</v>
      </c>
      <c r="C25">
        <v>170</v>
      </c>
      <c r="D25" s="5">
        <f>SUM($C$2:$C$82)/COUNT($C$2:$C$82)</f>
        <v>174.35802469135803</v>
      </c>
      <c r="E25" s="5">
        <f t="shared" si="0"/>
        <v>-4.3580246913580254</v>
      </c>
      <c r="F25" s="5">
        <f t="shared" si="1"/>
        <v>18.992379210486213</v>
      </c>
      <c r="G25" s="7" t="b">
        <f>COUNTIF($C$2:$C$82,C25)&gt;1</f>
        <v>1</v>
      </c>
      <c r="H25">
        <v>66.5</v>
      </c>
      <c r="I25">
        <v>1.7</v>
      </c>
      <c r="J25">
        <v>77</v>
      </c>
      <c r="K25">
        <v>169.75</v>
      </c>
      <c r="L25">
        <v>26.643598615916957</v>
      </c>
      <c r="M25">
        <v>15</v>
      </c>
      <c r="N25">
        <v>-6.6864670639183501</v>
      </c>
      <c r="O25" t="s">
        <v>33</v>
      </c>
      <c r="P25" t="s">
        <v>12</v>
      </c>
      <c r="Q25" t="s">
        <v>74</v>
      </c>
      <c r="R25">
        <v>21</v>
      </c>
      <c r="S25" t="b">
        <v>1</v>
      </c>
      <c r="T25">
        <v>7665</v>
      </c>
      <c r="U25">
        <v>38372</v>
      </c>
      <c r="V25" t="s">
        <v>61</v>
      </c>
      <c r="W25" t="s">
        <v>15</v>
      </c>
      <c r="X25" t="s">
        <v>75</v>
      </c>
      <c r="Y25" t="s">
        <v>279</v>
      </c>
    </row>
    <row r="26" spans="1:25" x14ac:dyDescent="0.6">
      <c r="A26" t="s">
        <v>81</v>
      </c>
      <c r="B26">
        <v>25</v>
      </c>
      <c r="C26">
        <v>170</v>
      </c>
      <c r="D26" s="5">
        <f>SUM($C$2:$C$82)/COUNT($C$2:$C$82)</f>
        <v>174.35802469135803</v>
      </c>
      <c r="E26" s="5">
        <f t="shared" si="0"/>
        <v>-4.3580246913580254</v>
      </c>
      <c r="F26" s="5">
        <f t="shared" si="1"/>
        <v>18.992379210486213</v>
      </c>
      <c r="G26" s="7" t="b">
        <f>COUNTIF($C$2:$C$82,C26)&gt;1</f>
        <v>1</v>
      </c>
      <c r="H26">
        <v>66.5</v>
      </c>
      <c r="I26">
        <v>1.7</v>
      </c>
      <c r="J26">
        <v>75</v>
      </c>
      <c r="K26">
        <v>165.25</v>
      </c>
      <c r="L26">
        <v>25.95155709342561</v>
      </c>
      <c r="M26">
        <v>20</v>
      </c>
      <c r="N26">
        <v>-7.3785085864096978</v>
      </c>
      <c r="O26" t="s">
        <v>82</v>
      </c>
      <c r="P26" t="s">
        <v>83</v>
      </c>
      <c r="Q26" t="s">
        <v>20</v>
      </c>
      <c r="R26">
        <v>82</v>
      </c>
      <c r="S26" t="b">
        <v>1</v>
      </c>
      <c r="T26">
        <v>29930</v>
      </c>
      <c r="U26">
        <v>16107</v>
      </c>
      <c r="V26" t="s">
        <v>26</v>
      </c>
      <c r="W26" t="s">
        <v>15</v>
      </c>
      <c r="X26" t="s">
        <v>84</v>
      </c>
      <c r="Y26" t="s">
        <v>281</v>
      </c>
    </row>
    <row r="27" spans="1:25" x14ac:dyDescent="0.6">
      <c r="A27" t="s">
        <v>122</v>
      </c>
      <c r="B27">
        <v>26</v>
      </c>
      <c r="C27">
        <v>170</v>
      </c>
      <c r="D27" s="5">
        <f>SUM($C$2:$C$82)/COUNT($C$2:$C$82)</f>
        <v>174.35802469135803</v>
      </c>
      <c r="E27" s="5">
        <f t="shared" si="0"/>
        <v>-4.3580246913580254</v>
      </c>
      <c r="F27" s="5">
        <f t="shared" si="1"/>
        <v>18.992379210486213</v>
      </c>
      <c r="G27" s="7" t="b">
        <f>COUNTIF($C$2:$C$82,C27)&gt;1</f>
        <v>1</v>
      </c>
      <c r="H27">
        <v>66.5</v>
      </c>
      <c r="I27">
        <v>1.7</v>
      </c>
      <c r="J27" t="s">
        <v>18</v>
      </c>
      <c r="K27" t="e">
        <v>#VALUE!</v>
      </c>
      <c r="L27">
        <v>0</v>
      </c>
      <c r="M27">
        <v>60</v>
      </c>
      <c r="N27">
        <v>-33.330065679835307</v>
      </c>
      <c r="O27" t="s">
        <v>11</v>
      </c>
      <c r="P27" t="s">
        <v>12</v>
      </c>
      <c r="Q27" t="s">
        <v>13</v>
      </c>
      <c r="R27">
        <v>91</v>
      </c>
      <c r="S27" t="b">
        <v>1</v>
      </c>
      <c r="T27">
        <v>33215</v>
      </c>
      <c r="U27">
        <v>12822</v>
      </c>
      <c r="V27" t="s">
        <v>123</v>
      </c>
      <c r="W27" t="s">
        <v>15</v>
      </c>
      <c r="X27" t="s">
        <v>117</v>
      </c>
      <c r="Y27" t="s">
        <v>117</v>
      </c>
    </row>
    <row r="28" spans="1:25" x14ac:dyDescent="0.6">
      <c r="A28" t="s">
        <v>193</v>
      </c>
      <c r="B28">
        <v>27</v>
      </c>
      <c r="C28">
        <v>170</v>
      </c>
      <c r="D28" s="5">
        <f>SUM($C$2:$C$82)/COUNT($C$2:$C$82)</f>
        <v>174.35802469135803</v>
      </c>
      <c r="E28" s="5">
        <f t="shared" si="0"/>
        <v>-4.3580246913580254</v>
      </c>
      <c r="F28" s="5">
        <f t="shared" si="1"/>
        <v>18.992379210486213</v>
      </c>
      <c r="G28" s="7" t="b">
        <f>COUNTIF($C$2:$C$82,C28)&gt;1</f>
        <v>1</v>
      </c>
      <c r="H28">
        <v>66.5</v>
      </c>
      <c r="I28">
        <v>1.7</v>
      </c>
      <c r="J28">
        <v>56.2</v>
      </c>
      <c r="K28">
        <v>124</v>
      </c>
      <c r="L28">
        <v>19.446366782006923</v>
      </c>
      <c r="M28">
        <v>48</v>
      </c>
      <c r="N28">
        <v>-13.883698897828385</v>
      </c>
      <c r="O28" t="s">
        <v>45</v>
      </c>
      <c r="P28" t="s">
        <v>20</v>
      </c>
      <c r="Q28" t="s">
        <v>13</v>
      </c>
      <c r="R28">
        <v>58</v>
      </c>
      <c r="S28" t="b">
        <v>1</v>
      </c>
      <c r="T28">
        <v>21170</v>
      </c>
      <c r="U28">
        <v>24867</v>
      </c>
      <c r="V28" t="s">
        <v>194</v>
      </c>
      <c r="W28" t="s">
        <v>195</v>
      </c>
      <c r="X28" t="s">
        <v>192</v>
      </c>
      <c r="Y28" t="s">
        <v>278</v>
      </c>
    </row>
    <row r="29" spans="1:25" x14ac:dyDescent="0.6">
      <c r="A29" t="s">
        <v>168</v>
      </c>
      <c r="B29">
        <v>28</v>
      </c>
      <c r="C29">
        <v>171</v>
      </c>
      <c r="D29" s="5">
        <f>SUM($C$2:$C$82)/COUNT($C$2:$C$82)</f>
        <v>174.35802469135803</v>
      </c>
      <c r="E29" s="5">
        <f t="shared" si="0"/>
        <v>-3.3580246913580254</v>
      </c>
      <c r="F29" s="5">
        <f t="shared" si="1"/>
        <v>11.276329827770162</v>
      </c>
      <c r="G29" s="7" t="b">
        <f>COUNTIF($C$2:$C$82,C29)&gt;1</f>
        <v>0</v>
      </c>
      <c r="H29">
        <v>67</v>
      </c>
      <c r="I29">
        <v>1.71</v>
      </c>
      <c r="J29" t="s">
        <v>18</v>
      </c>
      <c r="K29" t="e">
        <v>#VALUE!</v>
      </c>
      <c r="L29">
        <v>0</v>
      </c>
      <c r="M29">
        <v>60</v>
      </c>
      <c r="N29">
        <v>-33.330065679835307</v>
      </c>
      <c r="O29" t="s">
        <v>45</v>
      </c>
      <c r="P29" t="s">
        <v>33</v>
      </c>
      <c r="Q29" t="s">
        <v>33</v>
      </c>
      <c r="R29" t="s">
        <v>18</v>
      </c>
      <c r="S29" t="b">
        <v>0</v>
      </c>
      <c r="T29" t="e">
        <v>#VALUE!</v>
      </c>
      <c r="U29" t="e">
        <v>#VALUE!</v>
      </c>
      <c r="V29" t="s">
        <v>169</v>
      </c>
      <c r="W29" t="s">
        <v>143</v>
      </c>
      <c r="X29" t="s">
        <v>170</v>
      </c>
      <c r="Y29" t="s">
        <v>280</v>
      </c>
    </row>
    <row r="30" spans="1:25" x14ac:dyDescent="0.6">
      <c r="A30" t="s">
        <v>10</v>
      </c>
      <c r="B30">
        <v>29</v>
      </c>
      <c r="C30">
        <v>172</v>
      </c>
      <c r="D30" s="5">
        <f>SUM($C$2:$C$82)/COUNT($C$2:$C$82)</f>
        <v>174.35802469135803</v>
      </c>
      <c r="E30" s="5">
        <f t="shared" si="0"/>
        <v>-2.3580246913580254</v>
      </c>
      <c r="F30" s="5">
        <f t="shared" si="1"/>
        <v>5.5602804450541106</v>
      </c>
      <c r="G30" s="7" t="b">
        <f>COUNTIF($C$2:$C$82,C30)&gt;1</f>
        <v>0</v>
      </c>
      <c r="H30">
        <v>67.5</v>
      </c>
      <c r="I30">
        <v>1.72</v>
      </c>
      <c r="J30">
        <v>77</v>
      </c>
      <c r="K30">
        <v>169.75</v>
      </c>
      <c r="L30">
        <v>26.027582477014604</v>
      </c>
      <c r="M30">
        <v>18</v>
      </c>
      <c r="N30">
        <v>-7.302483202820703</v>
      </c>
      <c r="O30" t="s">
        <v>11</v>
      </c>
      <c r="P30" t="s">
        <v>12</v>
      </c>
      <c r="Q30" t="s">
        <v>13</v>
      </c>
      <c r="R30">
        <v>19</v>
      </c>
      <c r="S30" t="b">
        <v>1</v>
      </c>
      <c r="T30">
        <v>6935</v>
      </c>
      <c r="U30">
        <v>39102</v>
      </c>
      <c r="V30" t="s">
        <v>14</v>
      </c>
      <c r="W30" t="s">
        <v>15</v>
      </c>
      <c r="X30" t="s">
        <v>16</v>
      </c>
      <c r="Y30" t="s">
        <v>277</v>
      </c>
    </row>
    <row r="31" spans="1:25" x14ac:dyDescent="0.6">
      <c r="A31" t="s">
        <v>63</v>
      </c>
      <c r="B31">
        <v>30</v>
      </c>
      <c r="C31">
        <v>173</v>
      </c>
      <c r="D31" s="5">
        <f>SUM($C$2:$C$82)/COUNT($C$2:$C$82)</f>
        <v>174.35802469135803</v>
      </c>
      <c r="E31" s="5">
        <f t="shared" si="0"/>
        <v>-1.3580246913580254</v>
      </c>
      <c r="F31" s="5">
        <f t="shared" si="1"/>
        <v>1.8442310623380602</v>
      </c>
      <c r="G31" s="7" t="b">
        <f>COUNTIF($C$2:$C$82,C31)&gt;1</f>
        <v>0</v>
      </c>
      <c r="H31">
        <v>68</v>
      </c>
      <c r="I31">
        <v>1.73</v>
      </c>
      <c r="J31">
        <v>74</v>
      </c>
      <c r="K31">
        <v>163.25</v>
      </c>
      <c r="L31">
        <v>24.725182932941294</v>
      </c>
      <c r="M31">
        <v>28</v>
      </c>
      <c r="N31">
        <v>-8.6048827468940132</v>
      </c>
      <c r="O31" t="s">
        <v>18</v>
      </c>
      <c r="P31" t="s">
        <v>64</v>
      </c>
      <c r="Q31" t="s">
        <v>45</v>
      </c>
      <c r="R31">
        <v>44</v>
      </c>
      <c r="S31" t="b">
        <v>1</v>
      </c>
      <c r="T31">
        <v>16060</v>
      </c>
      <c r="U31">
        <v>29977</v>
      </c>
      <c r="V31" t="s">
        <v>65</v>
      </c>
      <c r="W31" t="s">
        <v>66</v>
      </c>
      <c r="X31" t="s">
        <v>43</v>
      </c>
      <c r="Y31" t="s">
        <v>43</v>
      </c>
    </row>
    <row r="32" spans="1:25" x14ac:dyDescent="0.6">
      <c r="A32" t="s">
        <v>67</v>
      </c>
      <c r="B32">
        <v>31</v>
      </c>
      <c r="C32">
        <v>175</v>
      </c>
      <c r="D32" s="5">
        <f>SUM($C$2:$C$82)/COUNT($C$2:$C$82)</f>
        <v>174.35802469135803</v>
      </c>
      <c r="E32" s="5">
        <f t="shared" si="0"/>
        <v>0.64197530864197461</v>
      </c>
      <c r="F32" s="5">
        <f t="shared" si="1"/>
        <v>0.41213229690595854</v>
      </c>
      <c r="G32" s="7" t="b">
        <f>COUNTIF($C$2:$C$82,C32)&gt;1</f>
        <v>1</v>
      </c>
      <c r="H32">
        <v>68.5</v>
      </c>
      <c r="I32">
        <v>1.75</v>
      </c>
      <c r="J32">
        <v>1358</v>
      </c>
      <c r="K32">
        <v>2994</v>
      </c>
      <c r="L32">
        <v>443.42857142857144</v>
      </c>
      <c r="M32">
        <v>1</v>
      </c>
      <c r="N32">
        <v>410.09850574873616</v>
      </c>
      <c r="O32" t="s">
        <v>18</v>
      </c>
      <c r="P32" t="s">
        <v>68</v>
      </c>
      <c r="Q32" t="s">
        <v>69</v>
      </c>
      <c r="R32">
        <v>600</v>
      </c>
      <c r="S32" t="b">
        <v>1</v>
      </c>
      <c r="T32">
        <v>219000</v>
      </c>
      <c r="U32">
        <v>-172963</v>
      </c>
      <c r="V32" t="s">
        <v>70</v>
      </c>
      <c r="W32" t="s">
        <v>71</v>
      </c>
      <c r="X32" t="s">
        <v>72</v>
      </c>
      <c r="Y32" t="s">
        <v>280</v>
      </c>
    </row>
    <row r="33" spans="1:25" x14ac:dyDescent="0.6">
      <c r="A33" t="s">
        <v>98</v>
      </c>
      <c r="B33">
        <v>32</v>
      </c>
      <c r="C33">
        <v>175</v>
      </c>
      <c r="D33" s="5">
        <f>SUM($C$2:$C$82)/COUNT($C$2:$C$82)</f>
        <v>174.35802469135803</v>
      </c>
      <c r="E33" s="5">
        <f t="shared" si="0"/>
        <v>0.64197530864197461</v>
      </c>
      <c r="F33" s="5">
        <f t="shared" si="1"/>
        <v>0.41213229690595854</v>
      </c>
      <c r="G33" s="7" t="b">
        <f>COUNTIF($C$2:$C$82,C33)&gt;1</f>
        <v>1</v>
      </c>
      <c r="H33">
        <v>68.5</v>
      </c>
      <c r="I33">
        <v>1.75</v>
      </c>
      <c r="J33">
        <v>79</v>
      </c>
      <c r="K33">
        <v>174.25</v>
      </c>
      <c r="L33">
        <v>25.795918367346939</v>
      </c>
      <c r="M33">
        <v>22</v>
      </c>
      <c r="N33">
        <v>-7.5341473124883684</v>
      </c>
      <c r="O33" t="s">
        <v>29</v>
      </c>
      <c r="P33" t="s">
        <v>34</v>
      </c>
      <c r="Q33" t="s">
        <v>13</v>
      </c>
      <c r="R33">
        <v>37</v>
      </c>
      <c r="S33" t="b">
        <v>1</v>
      </c>
      <c r="T33">
        <v>13505</v>
      </c>
      <c r="U33">
        <v>32532</v>
      </c>
      <c r="V33" t="s">
        <v>99</v>
      </c>
      <c r="W33" t="s">
        <v>15</v>
      </c>
      <c r="X33" t="s">
        <v>90</v>
      </c>
      <c r="Y33" t="s">
        <v>90</v>
      </c>
    </row>
    <row r="34" spans="1:25" x14ac:dyDescent="0.6">
      <c r="A34" t="s">
        <v>141</v>
      </c>
      <c r="B34">
        <v>33</v>
      </c>
      <c r="C34">
        <v>175</v>
      </c>
      <c r="D34" s="5">
        <f>SUM($C$2:$C$82)/COUNT($C$2:$C$82)</f>
        <v>174.35802469135803</v>
      </c>
      <c r="E34" s="5">
        <f t="shared" si="0"/>
        <v>0.64197530864197461</v>
      </c>
      <c r="F34" s="5">
        <f t="shared" si="1"/>
        <v>0.41213229690595854</v>
      </c>
      <c r="G34" s="7" t="b">
        <f>COUNTIF($C$2:$C$82,C34)&gt;1</f>
        <v>1</v>
      </c>
      <c r="H34">
        <v>68.5</v>
      </c>
      <c r="I34">
        <v>1.75</v>
      </c>
      <c r="J34">
        <v>80</v>
      </c>
      <c r="K34">
        <v>176.25</v>
      </c>
      <c r="L34">
        <v>26.122448979591837</v>
      </c>
      <c r="M34">
        <v>17</v>
      </c>
      <c r="N34">
        <v>-7.2076167002434701</v>
      </c>
      <c r="O34" t="s">
        <v>29</v>
      </c>
      <c r="P34" t="s">
        <v>25</v>
      </c>
      <c r="Q34" t="s">
        <v>20</v>
      </c>
      <c r="R34">
        <v>54</v>
      </c>
      <c r="S34" t="b">
        <v>1</v>
      </c>
      <c r="T34">
        <v>19710</v>
      </c>
      <c r="U34">
        <v>26327</v>
      </c>
      <c r="V34" t="s">
        <v>142</v>
      </c>
      <c r="W34" t="s">
        <v>143</v>
      </c>
      <c r="X34" t="s">
        <v>117</v>
      </c>
      <c r="Y34" t="s">
        <v>117</v>
      </c>
    </row>
    <row r="35" spans="1:25" x14ac:dyDescent="0.6">
      <c r="A35" t="s">
        <v>94</v>
      </c>
      <c r="B35">
        <v>34</v>
      </c>
      <c r="C35">
        <v>177</v>
      </c>
      <c r="D35" s="5">
        <f>SUM($C$2:$C$82)/COUNT($C$2:$C$82)</f>
        <v>174.35802469135803</v>
      </c>
      <c r="E35" s="5">
        <f t="shared" si="0"/>
        <v>2.6419753086419746</v>
      </c>
      <c r="F35" s="5">
        <f t="shared" si="1"/>
        <v>6.9800335314738566</v>
      </c>
      <c r="G35" s="7" t="b">
        <f>COUNTIF($C$2:$C$82,C35)&gt;1</f>
        <v>0</v>
      </c>
      <c r="H35">
        <v>69.5</v>
      </c>
      <c r="I35">
        <v>1.77</v>
      </c>
      <c r="J35">
        <v>79</v>
      </c>
      <c r="K35">
        <v>174.25</v>
      </c>
      <c r="L35">
        <v>25.216253311628201</v>
      </c>
      <c r="M35">
        <v>24</v>
      </c>
      <c r="N35">
        <v>-8.1138123682071068</v>
      </c>
      <c r="O35" t="s">
        <v>45</v>
      </c>
      <c r="P35" t="s">
        <v>95</v>
      </c>
      <c r="Q35" t="s">
        <v>33</v>
      </c>
      <c r="R35">
        <v>31</v>
      </c>
      <c r="S35" t="b">
        <v>1</v>
      </c>
      <c r="T35">
        <v>11315</v>
      </c>
      <c r="U35">
        <v>34722</v>
      </c>
      <c r="V35" t="s">
        <v>96</v>
      </c>
      <c r="W35" t="s">
        <v>15</v>
      </c>
      <c r="X35" t="s">
        <v>97</v>
      </c>
      <c r="Y35" t="s">
        <v>279</v>
      </c>
    </row>
    <row r="36" spans="1:25" x14ac:dyDescent="0.6">
      <c r="A36" t="s">
        <v>37</v>
      </c>
      <c r="B36">
        <v>35</v>
      </c>
      <c r="C36">
        <v>178</v>
      </c>
      <c r="D36" s="5">
        <f>SUM($C$2:$C$82)/COUNT($C$2:$C$82)</f>
        <v>174.35802469135803</v>
      </c>
      <c r="E36" s="5">
        <f t="shared" si="0"/>
        <v>3.6419753086419746</v>
      </c>
      <c r="F36" s="5">
        <f t="shared" si="1"/>
        <v>13.263984148757807</v>
      </c>
      <c r="G36" s="7" t="b">
        <f>COUNTIF($C$2:$C$82,C36)&gt;1</f>
        <v>1</v>
      </c>
      <c r="H36">
        <v>70</v>
      </c>
      <c r="I36">
        <v>1.78</v>
      </c>
      <c r="J36">
        <v>120</v>
      </c>
      <c r="K36">
        <v>264.5</v>
      </c>
      <c r="L36">
        <v>37.874005807347558</v>
      </c>
      <c r="M36">
        <v>4</v>
      </c>
      <c r="N36">
        <v>4.5439401275122506</v>
      </c>
      <c r="O36" t="s">
        <v>38</v>
      </c>
      <c r="P36" t="s">
        <v>34</v>
      </c>
      <c r="Q36" t="s">
        <v>13</v>
      </c>
      <c r="R36">
        <v>52</v>
      </c>
      <c r="S36" t="b">
        <v>1</v>
      </c>
      <c r="T36">
        <v>18980</v>
      </c>
      <c r="U36">
        <v>27057</v>
      </c>
      <c r="V36" t="s">
        <v>14</v>
      </c>
      <c r="W36" t="s">
        <v>15</v>
      </c>
      <c r="X36" t="s">
        <v>39</v>
      </c>
      <c r="Y36" t="s">
        <v>278</v>
      </c>
    </row>
    <row r="37" spans="1:25" x14ac:dyDescent="0.6">
      <c r="A37" t="s">
        <v>148</v>
      </c>
      <c r="B37">
        <v>36</v>
      </c>
      <c r="C37">
        <v>178</v>
      </c>
      <c r="D37" s="5">
        <f>SUM($C$2:$C$82)/COUNT($C$2:$C$82)</f>
        <v>174.35802469135803</v>
      </c>
      <c r="E37" s="5">
        <f t="shared" si="0"/>
        <v>3.6419753086419746</v>
      </c>
      <c r="F37" s="5">
        <f t="shared" si="1"/>
        <v>13.263984148757807</v>
      </c>
      <c r="G37" s="7" t="b">
        <f>COUNTIF($C$2:$C$82,C37)&gt;1</f>
        <v>1</v>
      </c>
      <c r="H37">
        <v>70</v>
      </c>
      <c r="I37">
        <v>1.78</v>
      </c>
      <c r="J37">
        <v>55</v>
      </c>
      <c r="K37">
        <v>121.25</v>
      </c>
      <c r="L37">
        <v>17.35891932836763</v>
      </c>
      <c r="M37">
        <v>52</v>
      </c>
      <c r="N37">
        <v>-15.971146351467677</v>
      </c>
      <c r="O37" t="s">
        <v>29</v>
      </c>
      <c r="P37" t="s">
        <v>13</v>
      </c>
      <c r="Q37" t="s">
        <v>74</v>
      </c>
      <c r="R37">
        <v>48</v>
      </c>
      <c r="S37" t="b">
        <v>1</v>
      </c>
      <c r="T37">
        <v>17520</v>
      </c>
      <c r="U37">
        <v>28517</v>
      </c>
      <c r="V37" t="s">
        <v>146</v>
      </c>
      <c r="W37" t="s">
        <v>147</v>
      </c>
      <c r="X37" t="s">
        <v>149</v>
      </c>
      <c r="Y37" t="s">
        <v>281</v>
      </c>
    </row>
    <row r="38" spans="1:25" x14ac:dyDescent="0.6">
      <c r="A38" t="s">
        <v>230</v>
      </c>
      <c r="B38">
        <v>37</v>
      </c>
      <c r="C38">
        <v>178</v>
      </c>
      <c r="D38" s="5">
        <f>SUM($C$2:$C$82)/COUNT($C$2:$C$82)</f>
        <v>174.35802469135803</v>
      </c>
      <c r="E38" s="5">
        <f t="shared" si="0"/>
        <v>3.6419753086419746</v>
      </c>
      <c r="F38" s="5">
        <f t="shared" si="1"/>
        <v>13.263984148757807</v>
      </c>
      <c r="G38" s="7" t="b">
        <f>COUNTIF($C$2:$C$82,C38)&gt;1</f>
        <v>1</v>
      </c>
      <c r="H38">
        <v>70</v>
      </c>
      <c r="I38">
        <v>1.78</v>
      </c>
      <c r="J38">
        <v>57</v>
      </c>
      <c r="K38">
        <v>125.75</v>
      </c>
      <c r="L38">
        <v>17.99015275849009</v>
      </c>
      <c r="M38">
        <v>51</v>
      </c>
      <c r="N38">
        <v>-15.339912921345217</v>
      </c>
      <c r="O38" t="s">
        <v>29</v>
      </c>
      <c r="P38" t="s">
        <v>231</v>
      </c>
      <c r="Q38" t="s">
        <v>45</v>
      </c>
      <c r="R38" t="s">
        <v>18</v>
      </c>
      <c r="S38" t="b">
        <v>0</v>
      </c>
      <c r="T38" t="e">
        <v>#VALUE!</v>
      </c>
      <c r="U38" t="e">
        <v>#VALUE!</v>
      </c>
      <c r="V38" t="s">
        <v>232</v>
      </c>
      <c r="W38" t="s">
        <v>233</v>
      </c>
      <c r="X38" t="s">
        <v>192</v>
      </c>
      <c r="Y38" t="s">
        <v>278</v>
      </c>
    </row>
    <row r="39" spans="1:25" x14ac:dyDescent="0.6">
      <c r="A39" t="s">
        <v>242</v>
      </c>
      <c r="B39">
        <v>38</v>
      </c>
      <c r="C39">
        <v>178</v>
      </c>
      <c r="D39" s="5">
        <f>SUM($C$2:$C$82)/COUNT($C$2:$C$82)</f>
        <v>174.35802469135803</v>
      </c>
      <c r="E39" s="5">
        <f t="shared" si="0"/>
        <v>3.6419753086419746</v>
      </c>
      <c r="F39" s="5">
        <f t="shared" si="1"/>
        <v>13.263984148757807</v>
      </c>
      <c r="G39" s="7" t="b">
        <f>COUNTIF($C$2:$C$82,C39)&gt;1</f>
        <v>1</v>
      </c>
      <c r="H39">
        <v>70</v>
      </c>
      <c r="I39">
        <v>1.78</v>
      </c>
      <c r="J39">
        <v>48</v>
      </c>
      <c r="K39">
        <v>105.75</v>
      </c>
      <c r="L39">
        <v>15.149602322939023</v>
      </c>
      <c r="M39">
        <v>57</v>
      </c>
      <c r="N39">
        <v>-18.180463356896283</v>
      </c>
      <c r="O39" t="s">
        <v>29</v>
      </c>
      <c r="P39" t="s">
        <v>83</v>
      </c>
      <c r="Q39" t="s">
        <v>30</v>
      </c>
      <c r="R39" t="s">
        <v>18</v>
      </c>
      <c r="S39" t="b">
        <v>0</v>
      </c>
      <c r="T39" t="e">
        <v>#VALUE!</v>
      </c>
      <c r="U39" t="e">
        <v>#VALUE!</v>
      </c>
      <c r="V39" t="s">
        <v>243</v>
      </c>
      <c r="W39" t="s">
        <v>18</v>
      </c>
      <c r="X39" t="s">
        <v>192</v>
      </c>
      <c r="Y39" t="s">
        <v>278</v>
      </c>
    </row>
    <row r="40" spans="1:25" x14ac:dyDescent="0.6">
      <c r="A40" t="s">
        <v>52</v>
      </c>
      <c r="B40">
        <v>39</v>
      </c>
      <c r="C40">
        <v>180</v>
      </c>
      <c r="D40" s="5">
        <f>SUM($C$2:$C$82)/COUNT($C$2:$C$82)</f>
        <v>174.35802469135803</v>
      </c>
      <c r="E40" s="5">
        <f t="shared" si="0"/>
        <v>5.6419753086419746</v>
      </c>
      <c r="F40" s="5">
        <f t="shared" si="1"/>
        <v>31.831885383325705</v>
      </c>
      <c r="G40" s="7" t="b">
        <f>COUNTIF($C$2:$C$82,C40)&gt;1</f>
        <v>1</v>
      </c>
      <c r="H40">
        <v>70.5</v>
      </c>
      <c r="I40">
        <v>1.8</v>
      </c>
      <c r="J40" t="s">
        <v>18</v>
      </c>
      <c r="K40" t="e">
        <v>#VALUE!</v>
      </c>
      <c r="L40">
        <v>0</v>
      </c>
      <c r="M40">
        <v>60</v>
      </c>
      <c r="N40">
        <v>-33.330065679835307</v>
      </c>
      <c r="O40" t="s">
        <v>53</v>
      </c>
      <c r="P40" t="s">
        <v>12</v>
      </c>
      <c r="Q40" t="s">
        <v>13</v>
      </c>
      <c r="R40">
        <v>64</v>
      </c>
      <c r="S40" t="b">
        <v>1</v>
      </c>
      <c r="T40">
        <v>23360</v>
      </c>
      <c r="U40">
        <v>22677</v>
      </c>
      <c r="V40" t="s">
        <v>54</v>
      </c>
      <c r="W40" t="s">
        <v>15</v>
      </c>
      <c r="X40" t="s">
        <v>55</v>
      </c>
      <c r="Y40" t="s">
        <v>277</v>
      </c>
    </row>
    <row r="41" spans="1:25" x14ac:dyDescent="0.6">
      <c r="A41" t="s">
        <v>60</v>
      </c>
      <c r="B41">
        <v>40</v>
      </c>
      <c r="C41">
        <v>180</v>
      </c>
      <c r="D41" s="5">
        <f>SUM($C$2:$C$82)/COUNT($C$2:$C$82)</f>
        <v>174.35802469135803</v>
      </c>
      <c r="E41" s="5">
        <f t="shared" si="0"/>
        <v>5.6419753086419746</v>
      </c>
      <c r="F41" s="5">
        <f t="shared" si="1"/>
        <v>31.831885383325705</v>
      </c>
      <c r="G41" s="7" t="b">
        <f>COUNTIF($C$2:$C$82,C41)&gt;1</f>
        <v>1</v>
      </c>
      <c r="H41">
        <v>70.5</v>
      </c>
      <c r="I41">
        <v>1.8</v>
      </c>
      <c r="J41">
        <v>80</v>
      </c>
      <c r="K41">
        <v>176.25</v>
      </c>
      <c r="L41">
        <v>24.691358024691358</v>
      </c>
      <c r="M41">
        <v>29</v>
      </c>
      <c r="N41">
        <v>-8.6387076551439499</v>
      </c>
      <c r="O41" t="s">
        <v>33</v>
      </c>
      <c r="P41" t="s">
        <v>12</v>
      </c>
      <c r="Q41" t="s">
        <v>33</v>
      </c>
      <c r="R41">
        <v>29</v>
      </c>
      <c r="S41" t="b">
        <v>1</v>
      </c>
      <c r="T41">
        <v>10585</v>
      </c>
      <c r="U41">
        <v>35452</v>
      </c>
      <c r="V41" t="s">
        <v>61</v>
      </c>
      <c r="W41" t="s">
        <v>15</v>
      </c>
      <c r="X41" t="s">
        <v>62</v>
      </c>
      <c r="Y41" t="s">
        <v>279</v>
      </c>
    </row>
    <row r="42" spans="1:25" x14ac:dyDescent="0.6">
      <c r="A42" t="s">
        <v>76</v>
      </c>
      <c r="B42">
        <v>41</v>
      </c>
      <c r="C42">
        <v>180</v>
      </c>
      <c r="D42" s="5">
        <f>SUM($C$2:$C$82)/COUNT($C$2:$C$82)</f>
        <v>174.35802469135803</v>
      </c>
      <c r="E42" s="5">
        <f t="shared" si="0"/>
        <v>5.6419753086419746</v>
      </c>
      <c r="F42" s="5">
        <f t="shared" si="1"/>
        <v>31.831885383325705</v>
      </c>
      <c r="G42" s="7" t="b">
        <f>COUNTIF($C$2:$C$82,C42)&gt;1</f>
        <v>1</v>
      </c>
      <c r="H42">
        <v>70.5</v>
      </c>
      <c r="I42">
        <v>1.8</v>
      </c>
      <c r="J42">
        <v>110</v>
      </c>
      <c r="K42">
        <v>242.5</v>
      </c>
      <c r="L42">
        <v>33.950617283950614</v>
      </c>
      <c r="M42">
        <v>9</v>
      </c>
      <c r="N42">
        <v>0.62055160411530608</v>
      </c>
      <c r="O42" t="s">
        <v>33</v>
      </c>
      <c r="P42" t="s">
        <v>12</v>
      </c>
      <c r="Q42" t="s">
        <v>13</v>
      </c>
      <c r="R42" t="s">
        <v>18</v>
      </c>
      <c r="S42" t="b">
        <v>0</v>
      </c>
      <c r="T42" t="e">
        <v>#VALUE!</v>
      </c>
      <c r="U42" t="e">
        <v>#VALUE!</v>
      </c>
      <c r="V42" t="s">
        <v>77</v>
      </c>
      <c r="W42" t="s">
        <v>15</v>
      </c>
      <c r="X42" t="s">
        <v>43</v>
      </c>
      <c r="Y42" t="s">
        <v>43</v>
      </c>
    </row>
    <row r="43" spans="1:25" x14ac:dyDescent="0.6">
      <c r="A43" t="s">
        <v>100</v>
      </c>
      <c r="B43">
        <v>42</v>
      </c>
      <c r="C43">
        <v>180</v>
      </c>
      <c r="D43" s="5">
        <f>SUM($C$2:$C$82)/COUNT($C$2:$C$82)</f>
        <v>174.35802469135803</v>
      </c>
      <c r="E43" s="5">
        <f t="shared" si="0"/>
        <v>5.6419753086419746</v>
      </c>
      <c r="F43" s="5">
        <f t="shared" si="1"/>
        <v>31.831885383325705</v>
      </c>
      <c r="G43" s="7" t="b">
        <f>COUNTIF($C$2:$C$82,C43)&gt;1</f>
        <v>1</v>
      </c>
      <c r="H43">
        <v>70.5</v>
      </c>
      <c r="I43">
        <v>1.8</v>
      </c>
      <c r="J43">
        <v>83</v>
      </c>
      <c r="K43">
        <v>183</v>
      </c>
      <c r="L43">
        <v>25.617283950617281</v>
      </c>
      <c r="M43">
        <v>23</v>
      </c>
      <c r="N43">
        <v>-7.7127817292180261</v>
      </c>
      <c r="O43" t="s">
        <v>29</v>
      </c>
      <c r="P43" t="s">
        <v>101</v>
      </c>
      <c r="Q43" t="s">
        <v>69</v>
      </c>
      <c r="R43">
        <v>41</v>
      </c>
      <c r="S43" t="b">
        <v>1</v>
      </c>
      <c r="T43">
        <v>14965</v>
      </c>
      <c r="U43">
        <v>31072</v>
      </c>
      <c r="V43" t="s">
        <v>102</v>
      </c>
      <c r="W43" t="s">
        <v>103</v>
      </c>
      <c r="X43" t="s">
        <v>104</v>
      </c>
      <c r="Y43" t="s">
        <v>279</v>
      </c>
    </row>
    <row r="44" spans="1:25" x14ac:dyDescent="0.6">
      <c r="A44" t="s">
        <v>144</v>
      </c>
      <c r="B44">
        <v>43</v>
      </c>
      <c r="C44">
        <v>180</v>
      </c>
      <c r="D44" s="5">
        <f>SUM($C$2:$C$82)/COUNT($C$2:$C$82)</f>
        <v>174.35802469135803</v>
      </c>
      <c r="E44" s="5">
        <f t="shared" si="0"/>
        <v>5.6419753086419746</v>
      </c>
      <c r="F44" s="5">
        <f t="shared" si="1"/>
        <v>31.831885383325705</v>
      </c>
      <c r="G44" s="7" t="b">
        <f>COUNTIF($C$2:$C$82,C44)&gt;1</f>
        <v>1</v>
      </c>
      <c r="H44">
        <v>70.5</v>
      </c>
      <c r="I44">
        <v>1.8</v>
      </c>
      <c r="J44" t="s">
        <v>18</v>
      </c>
      <c r="K44" t="e">
        <v>#VALUE!</v>
      </c>
      <c r="L44">
        <v>0</v>
      </c>
      <c r="M44">
        <v>60</v>
      </c>
      <c r="N44">
        <v>-33.330065679835307</v>
      </c>
      <c r="O44" t="s">
        <v>29</v>
      </c>
      <c r="P44" t="s">
        <v>83</v>
      </c>
      <c r="Q44" t="s">
        <v>145</v>
      </c>
      <c r="R44" t="s">
        <v>18</v>
      </c>
      <c r="S44" t="b">
        <v>0</v>
      </c>
      <c r="T44" t="e">
        <v>#VALUE!</v>
      </c>
      <c r="U44" t="e">
        <v>#VALUE!</v>
      </c>
      <c r="V44" t="s">
        <v>146</v>
      </c>
      <c r="W44" t="s">
        <v>147</v>
      </c>
      <c r="X44" t="s">
        <v>108</v>
      </c>
      <c r="Y44" t="s">
        <v>108</v>
      </c>
    </row>
    <row r="45" spans="1:25" x14ac:dyDescent="0.6">
      <c r="A45" t="s">
        <v>46</v>
      </c>
      <c r="B45">
        <v>44</v>
      </c>
      <c r="C45">
        <v>182</v>
      </c>
      <c r="D45" s="5">
        <f>SUM($C$2:$C$82)/COUNT($C$2:$C$82)</f>
        <v>174.35802469135803</v>
      </c>
      <c r="E45" s="5">
        <f t="shared" si="0"/>
        <v>7.6419753086419746</v>
      </c>
      <c r="F45" s="5">
        <f t="shared" si="1"/>
        <v>58.399786617893604</v>
      </c>
      <c r="G45" s="7" t="b">
        <f>COUNTIF($C$2:$C$82,C45)&gt;1</f>
        <v>0</v>
      </c>
      <c r="H45">
        <v>71.5</v>
      </c>
      <c r="I45">
        <v>1.82</v>
      </c>
      <c r="J45">
        <v>77</v>
      </c>
      <c r="K45">
        <v>169.75</v>
      </c>
      <c r="L45">
        <v>23.245984784446321</v>
      </c>
      <c r="M45">
        <v>39</v>
      </c>
      <c r="N45">
        <v>-10.084080895388986</v>
      </c>
      <c r="O45" t="s">
        <v>47</v>
      </c>
      <c r="P45" t="s">
        <v>12</v>
      </c>
      <c r="Q45" t="s">
        <v>48</v>
      </c>
      <c r="R45">
        <v>57</v>
      </c>
      <c r="S45" t="b">
        <v>1</v>
      </c>
      <c r="T45">
        <v>20805</v>
      </c>
      <c r="U45">
        <v>25232</v>
      </c>
      <c r="V45" t="s">
        <v>49</v>
      </c>
      <c r="W45" t="s">
        <v>15</v>
      </c>
      <c r="X45" t="s">
        <v>22</v>
      </c>
      <c r="Y45" t="s">
        <v>278</v>
      </c>
    </row>
    <row r="46" spans="1:25" x14ac:dyDescent="0.6">
      <c r="A46" t="s">
        <v>44</v>
      </c>
      <c r="B46">
        <v>45</v>
      </c>
      <c r="C46">
        <v>183</v>
      </c>
      <c r="D46" s="5">
        <f>SUM($C$2:$C$82)/COUNT($C$2:$C$82)</f>
        <v>174.35802469135803</v>
      </c>
      <c r="E46" s="5">
        <f t="shared" si="0"/>
        <v>8.6419753086419746</v>
      </c>
      <c r="F46" s="5">
        <f t="shared" si="1"/>
        <v>74.683737235177546</v>
      </c>
      <c r="G46" s="7" t="b">
        <f>COUNTIF($C$2:$C$82,C46)&gt;1</f>
        <v>1</v>
      </c>
      <c r="H46">
        <v>72</v>
      </c>
      <c r="I46">
        <v>1.83</v>
      </c>
      <c r="J46">
        <v>84</v>
      </c>
      <c r="K46">
        <v>185.25</v>
      </c>
      <c r="L46">
        <v>25.082863029651524</v>
      </c>
      <c r="M46">
        <v>25</v>
      </c>
      <c r="N46">
        <v>-8.2472026501837838</v>
      </c>
      <c r="O46" t="s">
        <v>45</v>
      </c>
      <c r="P46" t="s">
        <v>34</v>
      </c>
      <c r="Q46" t="s">
        <v>33</v>
      </c>
      <c r="R46">
        <v>24</v>
      </c>
      <c r="S46" t="b">
        <v>1</v>
      </c>
      <c r="T46">
        <v>8760</v>
      </c>
      <c r="U46">
        <v>37277</v>
      </c>
      <c r="V46" t="s">
        <v>14</v>
      </c>
      <c r="W46" t="s">
        <v>15</v>
      </c>
      <c r="X46" t="s">
        <v>43</v>
      </c>
      <c r="Y46" t="s">
        <v>43</v>
      </c>
    </row>
    <row r="47" spans="1:25" x14ac:dyDescent="0.6">
      <c r="A47" t="s">
        <v>85</v>
      </c>
      <c r="B47">
        <v>46</v>
      </c>
      <c r="C47">
        <v>183</v>
      </c>
      <c r="D47" s="5">
        <f>SUM($C$2:$C$82)/COUNT($C$2:$C$82)</f>
        <v>174.35802469135803</v>
      </c>
      <c r="E47" s="5">
        <f t="shared" si="0"/>
        <v>8.6419753086419746</v>
      </c>
      <c r="F47" s="5">
        <f t="shared" si="1"/>
        <v>74.683737235177546</v>
      </c>
      <c r="G47" s="7" t="b">
        <f>COUNTIF($C$2:$C$82,C47)&gt;1</f>
        <v>1</v>
      </c>
      <c r="H47">
        <v>72</v>
      </c>
      <c r="I47">
        <v>1.83</v>
      </c>
      <c r="J47">
        <v>78.2</v>
      </c>
      <c r="K47">
        <v>172.5</v>
      </c>
      <c r="L47">
        <v>23.350951058556539</v>
      </c>
      <c r="M47">
        <v>38</v>
      </c>
      <c r="N47">
        <v>-9.979114621278768</v>
      </c>
      <c r="O47" t="s">
        <v>45</v>
      </c>
      <c r="P47" t="s">
        <v>12</v>
      </c>
      <c r="Q47" t="s">
        <v>33</v>
      </c>
      <c r="R47">
        <v>31.5</v>
      </c>
      <c r="S47" t="b">
        <v>1</v>
      </c>
      <c r="T47">
        <v>11497.5</v>
      </c>
      <c r="U47">
        <v>34539.5</v>
      </c>
      <c r="V47" t="s">
        <v>86</v>
      </c>
      <c r="W47" t="s">
        <v>15</v>
      </c>
      <c r="X47" t="s">
        <v>87</v>
      </c>
      <c r="Y47" t="s">
        <v>278</v>
      </c>
    </row>
    <row r="48" spans="1:25" x14ac:dyDescent="0.6">
      <c r="A48" t="s">
        <v>129</v>
      </c>
      <c r="B48">
        <v>47</v>
      </c>
      <c r="C48">
        <v>183</v>
      </c>
      <c r="D48" s="5">
        <f>SUM($C$2:$C$82)/COUNT($C$2:$C$82)</f>
        <v>174.35802469135803</v>
      </c>
      <c r="E48" s="5">
        <f t="shared" si="0"/>
        <v>8.6419753086419746</v>
      </c>
      <c r="F48" s="5">
        <f t="shared" si="1"/>
        <v>74.683737235177546</v>
      </c>
      <c r="G48" s="7" t="b">
        <f>COUNTIF($C$2:$C$82,C48)&gt;1</f>
        <v>1</v>
      </c>
      <c r="H48">
        <v>72</v>
      </c>
      <c r="I48">
        <v>1.83</v>
      </c>
      <c r="J48" t="s">
        <v>18</v>
      </c>
      <c r="K48" t="e">
        <v>#VALUE!</v>
      </c>
      <c r="L48">
        <v>0</v>
      </c>
      <c r="M48">
        <v>60</v>
      </c>
      <c r="N48">
        <v>-33.330065679835307</v>
      </c>
      <c r="O48" t="s">
        <v>33</v>
      </c>
      <c r="P48" t="s">
        <v>12</v>
      </c>
      <c r="Q48" t="s">
        <v>13</v>
      </c>
      <c r="R48" t="s">
        <v>18</v>
      </c>
      <c r="S48" t="b">
        <v>0</v>
      </c>
      <c r="T48" t="e">
        <v>#VALUE!</v>
      </c>
      <c r="U48" t="e">
        <v>#VALUE!</v>
      </c>
      <c r="V48" t="s">
        <v>26</v>
      </c>
      <c r="W48" t="s">
        <v>18</v>
      </c>
      <c r="X48" t="s">
        <v>117</v>
      </c>
      <c r="Y48" t="s">
        <v>117</v>
      </c>
    </row>
    <row r="49" spans="1:25" x14ac:dyDescent="0.6">
      <c r="A49" t="s">
        <v>139</v>
      </c>
      <c r="B49">
        <v>48</v>
      </c>
      <c r="C49">
        <v>183</v>
      </c>
      <c r="D49" s="5">
        <f>SUM($C$2:$C$82)/COUNT($C$2:$C$82)</f>
        <v>174.35802469135803</v>
      </c>
      <c r="E49" s="5">
        <f t="shared" si="0"/>
        <v>8.6419753086419746</v>
      </c>
      <c r="F49" s="5">
        <f t="shared" si="1"/>
        <v>74.683737235177546</v>
      </c>
      <c r="G49" s="7" t="b">
        <f>COUNTIF($C$2:$C$82,C49)&gt;1</f>
        <v>1</v>
      </c>
      <c r="H49">
        <v>72</v>
      </c>
      <c r="I49">
        <v>1.83</v>
      </c>
      <c r="J49" t="s">
        <v>18</v>
      </c>
      <c r="K49" t="e">
        <v>#VALUE!</v>
      </c>
      <c r="L49">
        <v>0</v>
      </c>
      <c r="M49">
        <v>60</v>
      </c>
      <c r="N49">
        <v>-33.330065679835307</v>
      </c>
      <c r="O49" t="s">
        <v>45</v>
      </c>
      <c r="P49" t="s">
        <v>95</v>
      </c>
      <c r="Q49" t="s">
        <v>33</v>
      </c>
      <c r="R49">
        <v>62</v>
      </c>
      <c r="S49" t="b">
        <v>1</v>
      </c>
      <c r="T49">
        <v>22630</v>
      </c>
      <c r="U49">
        <v>23407</v>
      </c>
      <c r="V49" t="s">
        <v>26</v>
      </c>
      <c r="W49" t="s">
        <v>18</v>
      </c>
      <c r="X49" t="s">
        <v>117</v>
      </c>
      <c r="Y49" t="s">
        <v>117</v>
      </c>
    </row>
    <row r="50" spans="1:25" x14ac:dyDescent="0.6">
      <c r="A50" t="s">
        <v>188</v>
      </c>
      <c r="B50">
        <v>49</v>
      </c>
      <c r="C50">
        <v>183</v>
      </c>
      <c r="D50" s="5">
        <f>SUM($C$2:$C$82)/COUNT($C$2:$C$82)</f>
        <v>174.35802469135803</v>
      </c>
      <c r="E50" s="5">
        <f t="shared" si="0"/>
        <v>8.6419753086419746</v>
      </c>
      <c r="F50" s="5">
        <f t="shared" si="1"/>
        <v>74.683737235177546</v>
      </c>
      <c r="G50" s="7" t="b">
        <f>COUNTIF($C$2:$C$82,C50)&gt;1</f>
        <v>1</v>
      </c>
      <c r="H50">
        <v>72</v>
      </c>
      <c r="I50">
        <v>1.83</v>
      </c>
      <c r="J50" t="s">
        <v>18</v>
      </c>
      <c r="K50" t="e">
        <v>#VALUE!</v>
      </c>
      <c r="L50">
        <v>0</v>
      </c>
      <c r="M50">
        <v>60</v>
      </c>
      <c r="N50">
        <v>-33.330065679835307</v>
      </c>
      <c r="O50" t="s">
        <v>33</v>
      </c>
      <c r="P50" t="s">
        <v>12</v>
      </c>
      <c r="Q50" t="s">
        <v>13</v>
      </c>
      <c r="R50">
        <v>82</v>
      </c>
      <c r="S50" t="b">
        <v>1</v>
      </c>
      <c r="T50">
        <v>29930</v>
      </c>
      <c r="U50">
        <v>16107</v>
      </c>
      <c r="V50" t="s">
        <v>14</v>
      </c>
      <c r="W50" t="s">
        <v>15</v>
      </c>
      <c r="X50" t="s">
        <v>186</v>
      </c>
      <c r="Y50" t="s">
        <v>186</v>
      </c>
    </row>
    <row r="51" spans="1:25" x14ac:dyDescent="0.6">
      <c r="A51" t="s">
        <v>189</v>
      </c>
      <c r="B51">
        <v>50</v>
      </c>
      <c r="C51">
        <v>183</v>
      </c>
      <c r="D51" s="5">
        <f>SUM($C$2:$C$82)/COUNT($C$2:$C$82)</f>
        <v>174.35802469135803</v>
      </c>
      <c r="E51" s="5">
        <f t="shared" si="0"/>
        <v>8.6419753086419746</v>
      </c>
      <c r="F51" s="5">
        <f t="shared" si="1"/>
        <v>74.683737235177546</v>
      </c>
      <c r="G51" s="7" t="b">
        <f>COUNTIF($C$2:$C$82,C51)&gt;1</f>
        <v>1</v>
      </c>
      <c r="H51">
        <v>72</v>
      </c>
      <c r="I51">
        <v>1.83</v>
      </c>
      <c r="J51">
        <v>80</v>
      </c>
      <c r="K51">
        <v>176.25</v>
      </c>
      <c r="L51">
        <v>23.888440980620498</v>
      </c>
      <c r="M51">
        <v>34</v>
      </c>
      <c r="N51">
        <v>-9.4416246992148096</v>
      </c>
      <c r="O51" t="s">
        <v>29</v>
      </c>
      <c r="P51" t="s">
        <v>64</v>
      </c>
      <c r="Q51" t="s">
        <v>20</v>
      </c>
      <c r="R51" t="s">
        <v>18</v>
      </c>
      <c r="S51" t="b">
        <v>0</v>
      </c>
      <c r="T51" t="e">
        <v>#VALUE!</v>
      </c>
      <c r="U51" t="e">
        <v>#VALUE!</v>
      </c>
      <c r="V51" t="s">
        <v>190</v>
      </c>
      <c r="W51" t="s">
        <v>191</v>
      </c>
      <c r="X51" t="s">
        <v>192</v>
      </c>
      <c r="Y51" t="s">
        <v>278</v>
      </c>
    </row>
    <row r="52" spans="1:25" x14ac:dyDescent="0.6">
      <c r="A52" t="s">
        <v>202</v>
      </c>
      <c r="B52">
        <v>51</v>
      </c>
      <c r="C52">
        <v>183</v>
      </c>
      <c r="D52" s="5">
        <f>SUM($C$2:$C$82)/COUNT($C$2:$C$82)</f>
        <v>174.35802469135803</v>
      </c>
      <c r="E52" s="5">
        <f t="shared" si="0"/>
        <v>8.6419753086419746</v>
      </c>
      <c r="F52" s="5">
        <f t="shared" si="1"/>
        <v>74.683737235177546</v>
      </c>
      <c r="G52" s="7" t="b">
        <f>COUNTIF($C$2:$C$82,C52)&gt;1</f>
        <v>1</v>
      </c>
      <c r="H52">
        <v>72</v>
      </c>
      <c r="I52">
        <v>1.83</v>
      </c>
      <c r="J52">
        <v>79</v>
      </c>
      <c r="K52">
        <v>174.25</v>
      </c>
      <c r="L52">
        <v>23.589835468362743</v>
      </c>
      <c r="M52">
        <v>37</v>
      </c>
      <c r="N52">
        <v>-9.7402302114725643</v>
      </c>
      <c r="O52" t="s">
        <v>45</v>
      </c>
      <c r="P52" t="s">
        <v>201</v>
      </c>
      <c r="Q52" t="s">
        <v>33</v>
      </c>
      <c r="R52">
        <v>66</v>
      </c>
      <c r="S52" t="b">
        <v>1</v>
      </c>
      <c r="T52">
        <v>24090</v>
      </c>
      <c r="U52">
        <v>21947</v>
      </c>
      <c r="V52" t="s">
        <v>203</v>
      </c>
      <c r="W52" t="s">
        <v>15</v>
      </c>
      <c r="X52" t="s">
        <v>186</v>
      </c>
      <c r="Y52" t="s">
        <v>186</v>
      </c>
    </row>
    <row r="53" spans="1:25" x14ac:dyDescent="0.6">
      <c r="A53" t="s">
        <v>171</v>
      </c>
      <c r="B53">
        <v>52</v>
      </c>
      <c r="C53">
        <v>184</v>
      </c>
      <c r="D53" s="5">
        <f>SUM($C$2:$C$82)/COUNT($C$2:$C$82)</f>
        <v>174.35802469135803</v>
      </c>
      <c r="E53" s="5">
        <f t="shared" si="0"/>
        <v>9.6419753086419746</v>
      </c>
      <c r="F53" s="5">
        <f t="shared" si="1"/>
        <v>92.967687852461495</v>
      </c>
      <c r="G53" s="7" t="b">
        <f>COUNTIF($C$2:$C$82,C53)&gt;1</f>
        <v>0</v>
      </c>
      <c r="H53">
        <v>72</v>
      </c>
      <c r="I53">
        <v>1.84</v>
      </c>
      <c r="J53">
        <v>50</v>
      </c>
      <c r="K53">
        <v>110.25</v>
      </c>
      <c r="L53">
        <v>14.768431001890358</v>
      </c>
      <c r="M53">
        <v>58</v>
      </c>
      <c r="N53">
        <v>-18.561634677944951</v>
      </c>
      <c r="O53" t="s">
        <v>29</v>
      </c>
      <c r="P53" t="s">
        <v>95</v>
      </c>
      <c r="Q53" t="s">
        <v>13</v>
      </c>
      <c r="R53" t="s">
        <v>18</v>
      </c>
      <c r="S53" t="b">
        <v>0</v>
      </c>
      <c r="T53" t="e">
        <v>#VALUE!</v>
      </c>
      <c r="U53" t="e">
        <v>#VALUE!</v>
      </c>
      <c r="V53" t="s">
        <v>123</v>
      </c>
      <c r="W53" t="s">
        <v>172</v>
      </c>
      <c r="X53" t="s">
        <v>170</v>
      </c>
      <c r="Y53" t="s">
        <v>280</v>
      </c>
    </row>
    <row r="54" spans="1:25" x14ac:dyDescent="0.6">
      <c r="A54" t="s">
        <v>185</v>
      </c>
      <c r="B54">
        <v>53</v>
      </c>
      <c r="C54">
        <v>185</v>
      </c>
      <c r="D54" s="5">
        <f>SUM($C$2:$C$82)/COUNT($C$2:$C$82)</f>
        <v>174.35802469135803</v>
      </c>
      <c r="E54" s="5">
        <f t="shared" si="0"/>
        <v>10.641975308641975</v>
      </c>
      <c r="F54" s="5">
        <f t="shared" si="1"/>
        <v>113.25163846974544</v>
      </c>
      <c r="G54" s="7" t="b">
        <f>COUNTIF($C$2:$C$82,C54)&gt;1</f>
        <v>0</v>
      </c>
      <c r="H54">
        <v>72.5</v>
      </c>
      <c r="I54">
        <v>1.85</v>
      </c>
      <c r="J54">
        <v>85</v>
      </c>
      <c r="K54">
        <v>187.5</v>
      </c>
      <c r="L54">
        <v>24.835646457268076</v>
      </c>
      <c r="M54">
        <v>27</v>
      </c>
      <c r="N54">
        <v>-8.494419222567231</v>
      </c>
      <c r="O54" t="s">
        <v>45</v>
      </c>
      <c r="P54" t="s">
        <v>95</v>
      </c>
      <c r="Q54" t="s">
        <v>33</v>
      </c>
      <c r="R54" t="s">
        <v>18</v>
      </c>
      <c r="S54" t="b">
        <v>0</v>
      </c>
      <c r="T54" t="e">
        <v>#VALUE!</v>
      </c>
      <c r="U54" t="e">
        <v>#VALUE!</v>
      </c>
      <c r="V54" t="s">
        <v>26</v>
      </c>
      <c r="W54" t="s">
        <v>15</v>
      </c>
      <c r="X54" t="s">
        <v>186</v>
      </c>
      <c r="Y54" t="s">
        <v>186</v>
      </c>
    </row>
    <row r="55" spans="1:25" x14ac:dyDescent="0.6">
      <c r="A55" t="s">
        <v>50</v>
      </c>
      <c r="B55">
        <v>54</v>
      </c>
      <c r="C55">
        <v>188</v>
      </c>
      <c r="D55" s="5">
        <f>SUM($C$2:$C$82)/COUNT($C$2:$C$82)</f>
        <v>174.35802469135803</v>
      </c>
      <c r="E55" s="5">
        <f t="shared" si="0"/>
        <v>13.641975308641975</v>
      </c>
      <c r="F55" s="5">
        <f t="shared" si="1"/>
        <v>186.10349032159729</v>
      </c>
      <c r="G55" s="7" t="b">
        <f>COUNTIF($C$2:$C$82,C55)&gt;1</f>
        <v>1</v>
      </c>
      <c r="H55">
        <v>74</v>
      </c>
      <c r="I55">
        <v>1.88</v>
      </c>
      <c r="J55">
        <v>84</v>
      </c>
      <c r="K55">
        <v>185.25</v>
      </c>
      <c r="L55">
        <v>23.766410140334994</v>
      </c>
      <c r="M55">
        <v>35</v>
      </c>
      <c r="N55">
        <v>-9.5636555395003136</v>
      </c>
      <c r="O55" t="s">
        <v>11</v>
      </c>
      <c r="P55" t="s">
        <v>12</v>
      </c>
      <c r="Q55" t="s">
        <v>13</v>
      </c>
      <c r="R55">
        <v>41.9</v>
      </c>
      <c r="S55" t="b">
        <v>1</v>
      </c>
      <c r="T55">
        <v>15293.5</v>
      </c>
      <c r="U55">
        <v>30743.5</v>
      </c>
      <c r="V55" t="s">
        <v>14</v>
      </c>
      <c r="W55" t="s">
        <v>15</v>
      </c>
      <c r="X55" t="s">
        <v>51</v>
      </c>
      <c r="Y55" t="s">
        <v>278</v>
      </c>
    </row>
    <row r="56" spans="1:25" x14ac:dyDescent="0.6">
      <c r="A56" t="s">
        <v>160</v>
      </c>
      <c r="B56">
        <v>55</v>
      </c>
      <c r="C56">
        <v>188</v>
      </c>
      <c r="D56" s="5">
        <f>SUM($C$2:$C$82)/COUNT($C$2:$C$82)</f>
        <v>174.35802469135803</v>
      </c>
      <c r="E56" s="5">
        <f t="shared" si="0"/>
        <v>13.641975308641975</v>
      </c>
      <c r="F56" s="5">
        <f t="shared" si="1"/>
        <v>186.10349032159729</v>
      </c>
      <c r="G56" s="7" t="b">
        <f>COUNTIF($C$2:$C$82,C56)&gt;1</f>
        <v>1</v>
      </c>
      <c r="H56">
        <v>74</v>
      </c>
      <c r="I56">
        <v>1.88</v>
      </c>
      <c r="J56">
        <v>84</v>
      </c>
      <c r="K56">
        <v>185.25</v>
      </c>
      <c r="L56">
        <v>23.766410140334994</v>
      </c>
      <c r="M56">
        <v>35</v>
      </c>
      <c r="N56">
        <v>-9.5636555395003136</v>
      </c>
      <c r="O56" t="s">
        <v>29</v>
      </c>
      <c r="P56" t="s">
        <v>95</v>
      </c>
      <c r="Q56" t="s">
        <v>33</v>
      </c>
      <c r="R56">
        <v>72</v>
      </c>
      <c r="S56" t="b">
        <v>1</v>
      </c>
      <c r="T56">
        <v>26280</v>
      </c>
      <c r="U56">
        <v>19757</v>
      </c>
      <c r="V56" t="s">
        <v>161</v>
      </c>
      <c r="W56" t="s">
        <v>15</v>
      </c>
      <c r="X56" t="s">
        <v>51</v>
      </c>
      <c r="Y56" t="s">
        <v>278</v>
      </c>
    </row>
    <row r="57" spans="1:25" x14ac:dyDescent="0.6">
      <c r="A57" t="s">
        <v>173</v>
      </c>
      <c r="B57">
        <v>56</v>
      </c>
      <c r="C57">
        <v>188</v>
      </c>
      <c r="D57" s="5">
        <f>SUM($C$2:$C$82)/COUNT($C$2:$C$82)</f>
        <v>174.35802469135803</v>
      </c>
      <c r="E57" s="5">
        <f t="shared" si="0"/>
        <v>13.641975308641975</v>
      </c>
      <c r="F57" s="5">
        <f t="shared" si="1"/>
        <v>186.10349032159729</v>
      </c>
      <c r="G57" s="7" t="b">
        <f>COUNTIF($C$2:$C$82,C57)&gt;1</f>
        <v>1</v>
      </c>
      <c r="H57">
        <v>74</v>
      </c>
      <c r="I57">
        <v>1.88</v>
      </c>
      <c r="J57" t="s">
        <v>18</v>
      </c>
      <c r="K57" t="e">
        <v>#VALUE!</v>
      </c>
      <c r="L57">
        <v>0</v>
      </c>
      <c r="M57">
        <v>60</v>
      </c>
      <c r="N57">
        <v>-33.330065679835307</v>
      </c>
      <c r="O57" t="s">
        <v>29</v>
      </c>
      <c r="P57" t="s">
        <v>83</v>
      </c>
      <c r="Q57" t="s">
        <v>69</v>
      </c>
      <c r="R57" t="s">
        <v>18</v>
      </c>
      <c r="S57" t="b">
        <v>0</v>
      </c>
      <c r="T57" t="e">
        <v>#VALUE!</v>
      </c>
      <c r="U57" t="e">
        <v>#VALUE!</v>
      </c>
      <c r="V57" t="s">
        <v>174</v>
      </c>
      <c r="W57" t="s">
        <v>175</v>
      </c>
      <c r="X57" t="s">
        <v>170</v>
      </c>
      <c r="Y57" t="s">
        <v>280</v>
      </c>
    </row>
    <row r="58" spans="1:25" x14ac:dyDescent="0.6">
      <c r="A58" t="s">
        <v>179</v>
      </c>
      <c r="B58">
        <v>57</v>
      </c>
      <c r="C58">
        <v>188</v>
      </c>
      <c r="D58" s="5">
        <f>SUM($C$2:$C$82)/COUNT($C$2:$C$82)</f>
        <v>174.35802469135803</v>
      </c>
      <c r="E58" s="5">
        <f t="shared" si="0"/>
        <v>13.641975308641975</v>
      </c>
      <c r="F58" s="5">
        <f t="shared" si="1"/>
        <v>186.10349032159729</v>
      </c>
      <c r="G58" s="7" t="b">
        <f>COUNTIF($C$2:$C$82,C58)&gt;1</f>
        <v>1</v>
      </c>
      <c r="H58">
        <v>74</v>
      </c>
      <c r="I58">
        <v>1.88</v>
      </c>
      <c r="J58">
        <v>80</v>
      </c>
      <c r="K58">
        <v>176.25</v>
      </c>
      <c r="L58">
        <v>22.634676324128566</v>
      </c>
      <c r="M58">
        <v>41</v>
      </c>
      <c r="N58">
        <v>-10.695389355706741</v>
      </c>
      <c r="O58" t="s">
        <v>29</v>
      </c>
      <c r="P58" t="s">
        <v>69</v>
      </c>
      <c r="Q58" t="s">
        <v>45</v>
      </c>
      <c r="R58">
        <v>22</v>
      </c>
      <c r="S58" t="b">
        <v>1</v>
      </c>
      <c r="T58">
        <v>8030</v>
      </c>
      <c r="U58">
        <v>38007</v>
      </c>
      <c r="V58" t="s">
        <v>180</v>
      </c>
      <c r="W58" t="s">
        <v>181</v>
      </c>
      <c r="X58" t="s">
        <v>51</v>
      </c>
      <c r="Y58" t="s">
        <v>278</v>
      </c>
    </row>
    <row r="59" spans="1:25" x14ac:dyDescent="0.6">
      <c r="A59" t="s">
        <v>241</v>
      </c>
      <c r="B59">
        <v>58</v>
      </c>
      <c r="C59">
        <v>188</v>
      </c>
      <c r="D59" s="5">
        <f>SUM($C$2:$C$82)/COUNT($C$2:$C$82)</f>
        <v>174.35802469135803</v>
      </c>
      <c r="E59" s="5">
        <f t="shared" si="0"/>
        <v>13.641975308641975</v>
      </c>
      <c r="F59" s="5">
        <f t="shared" si="1"/>
        <v>186.10349032159729</v>
      </c>
      <c r="G59" s="7" t="b">
        <f>COUNTIF($C$2:$C$82,C59)&gt;1</f>
        <v>1</v>
      </c>
      <c r="H59">
        <v>74</v>
      </c>
      <c r="I59">
        <v>1.88</v>
      </c>
      <c r="J59">
        <v>79</v>
      </c>
      <c r="K59">
        <v>174.25</v>
      </c>
      <c r="L59">
        <v>22.351742870076958</v>
      </c>
      <c r="M59">
        <v>42</v>
      </c>
      <c r="N59">
        <v>-10.97832280975835</v>
      </c>
      <c r="O59" t="s">
        <v>33</v>
      </c>
      <c r="P59" t="s">
        <v>34</v>
      </c>
      <c r="Q59" t="s">
        <v>33</v>
      </c>
      <c r="R59" t="s">
        <v>18</v>
      </c>
      <c r="S59" t="b">
        <v>0</v>
      </c>
      <c r="T59" t="e">
        <v>#VALUE!</v>
      </c>
      <c r="U59" t="e">
        <v>#VALUE!</v>
      </c>
      <c r="V59" t="s">
        <v>35</v>
      </c>
      <c r="W59" t="s">
        <v>15</v>
      </c>
      <c r="X59" t="s">
        <v>55</v>
      </c>
      <c r="Y59" t="s">
        <v>277</v>
      </c>
    </row>
    <row r="60" spans="1:25" x14ac:dyDescent="0.6">
      <c r="A60" t="s">
        <v>91</v>
      </c>
      <c r="B60">
        <v>59</v>
      </c>
      <c r="C60">
        <v>190</v>
      </c>
      <c r="D60" s="5">
        <f>SUM($C$2:$C$82)/COUNT($C$2:$C$82)</f>
        <v>174.35802469135803</v>
      </c>
      <c r="E60" s="5">
        <f t="shared" si="0"/>
        <v>15.641975308641975</v>
      </c>
      <c r="F60" s="5">
        <f t="shared" si="1"/>
        <v>244.67139155616519</v>
      </c>
      <c r="G60" s="7" t="b">
        <f>COUNTIF($C$2:$C$82,C60)&gt;1</f>
        <v>0</v>
      </c>
      <c r="H60">
        <v>74.5</v>
      </c>
      <c r="I60">
        <v>1.9</v>
      </c>
      <c r="J60">
        <v>113</v>
      </c>
      <c r="K60">
        <v>249</v>
      </c>
      <c r="L60">
        <v>31.301939058171747</v>
      </c>
      <c r="M60">
        <v>12</v>
      </c>
      <c r="N60">
        <v>-2.0281266216635601</v>
      </c>
      <c r="O60" t="s">
        <v>29</v>
      </c>
      <c r="P60" t="s">
        <v>64</v>
      </c>
      <c r="Q60" t="s">
        <v>25</v>
      </c>
      <c r="R60">
        <v>53</v>
      </c>
      <c r="S60" t="b">
        <v>1</v>
      </c>
      <c r="T60">
        <v>19345</v>
      </c>
      <c r="U60">
        <v>26692</v>
      </c>
      <c r="V60" t="s">
        <v>92</v>
      </c>
      <c r="W60" t="s">
        <v>93</v>
      </c>
      <c r="X60" t="s">
        <v>90</v>
      </c>
      <c r="Y60" t="s">
        <v>90</v>
      </c>
    </row>
    <row r="61" spans="1:25" x14ac:dyDescent="0.6">
      <c r="A61" t="s">
        <v>118</v>
      </c>
      <c r="B61">
        <v>60</v>
      </c>
      <c r="C61">
        <v>191</v>
      </c>
      <c r="D61" s="5">
        <f>SUM($C$2:$C$82)/COUNT($C$2:$C$82)</f>
        <v>174.35802469135803</v>
      </c>
      <c r="E61" s="5">
        <f t="shared" si="0"/>
        <v>16.641975308641975</v>
      </c>
      <c r="F61" s="5">
        <f t="shared" si="1"/>
        <v>276.95534217344914</v>
      </c>
      <c r="G61" s="7" t="b">
        <f>COUNTIF($C$2:$C$82,C61)&gt;1</f>
        <v>1</v>
      </c>
      <c r="H61">
        <v>75</v>
      </c>
      <c r="I61">
        <v>1.91</v>
      </c>
      <c r="J61">
        <v>90</v>
      </c>
      <c r="K61">
        <v>198.5</v>
      </c>
      <c r="L61">
        <v>24.670376360297141</v>
      </c>
      <c r="M61">
        <v>30</v>
      </c>
      <c r="N61">
        <v>-8.6596893195381668</v>
      </c>
      <c r="O61" t="s">
        <v>29</v>
      </c>
      <c r="P61" t="s">
        <v>119</v>
      </c>
      <c r="Q61" t="s">
        <v>25</v>
      </c>
      <c r="R61" t="s">
        <v>18</v>
      </c>
      <c r="S61" t="b">
        <v>0</v>
      </c>
      <c r="T61" t="e">
        <v>#VALUE!</v>
      </c>
      <c r="U61" t="e">
        <v>#VALUE!</v>
      </c>
      <c r="V61" t="s">
        <v>120</v>
      </c>
      <c r="W61" t="s">
        <v>121</v>
      </c>
      <c r="X61" t="s">
        <v>51</v>
      </c>
      <c r="Y61" t="s">
        <v>278</v>
      </c>
    </row>
    <row r="62" spans="1:25" x14ac:dyDescent="0.6">
      <c r="A62" t="s">
        <v>200</v>
      </c>
      <c r="B62">
        <v>61</v>
      </c>
      <c r="C62">
        <v>191</v>
      </c>
      <c r="D62" s="5">
        <f>SUM($C$2:$C$82)/COUNT($C$2:$C$82)</f>
        <v>174.35802469135803</v>
      </c>
      <c r="E62" s="5">
        <f t="shared" si="0"/>
        <v>16.641975308641975</v>
      </c>
      <c r="F62" s="5">
        <f t="shared" si="1"/>
        <v>276.95534217344914</v>
      </c>
      <c r="G62" s="7" t="b">
        <f>COUNTIF($C$2:$C$82,C62)&gt;1</f>
        <v>1</v>
      </c>
      <c r="H62">
        <v>75</v>
      </c>
      <c r="I62">
        <v>1.91</v>
      </c>
      <c r="J62" t="s">
        <v>18</v>
      </c>
      <c r="K62" t="e">
        <v>#VALUE!</v>
      </c>
      <c r="L62">
        <v>0</v>
      </c>
      <c r="M62">
        <v>60</v>
      </c>
      <c r="N62">
        <v>-33.330065679835307</v>
      </c>
      <c r="O62" t="s">
        <v>45</v>
      </c>
      <c r="P62" t="s">
        <v>201</v>
      </c>
      <c r="Q62" t="s">
        <v>33</v>
      </c>
      <c r="R62">
        <v>67</v>
      </c>
      <c r="S62" t="b">
        <v>1</v>
      </c>
      <c r="T62">
        <v>24455</v>
      </c>
      <c r="U62">
        <v>21582</v>
      </c>
      <c r="V62" t="s">
        <v>35</v>
      </c>
      <c r="W62" t="s">
        <v>15</v>
      </c>
      <c r="X62" t="s">
        <v>192</v>
      </c>
      <c r="Y62" t="s">
        <v>278</v>
      </c>
    </row>
    <row r="63" spans="1:25" x14ac:dyDescent="0.6">
      <c r="A63" t="s">
        <v>227</v>
      </c>
      <c r="B63">
        <v>62</v>
      </c>
      <c r="C63">
        <v>191</v>
      </c>
      <c r="D63" s="5">
        <f>SUM($C$2:$C$82)/COUNT($C$2:$C$82)</f>
        <v>174.35802469135803</v>
      </c>
      <c r="E63" s="5">
        <f t="shared" si="0"/>
        <v>16.641975308641975</v>
      </c>
      <c r="F63" s="5">
        <f t="shared" si="1"/>
        <v>276.95534217344914</v>
      </c>
      <c r="G63" s="7" t="b">
        <f>COUNTIF($C$2:$C$82,C63)&gt;1</f>
        <v>1</v>
      </c>
      <c r="H63">
        <v>75</v>
      </c>
      <c r="I63">
        <v>1.91</v>
      </c>
      <c r="J63" t="s">
        <v>18</v>
      </c>
      <c r="K63" t="e">
        <v>#VALUE!</v>
      </c>
      <c r="L63">
        <v>0</v>
      </c>
      <c r="M63">
        <v>60</v>
      </c>
      <c r="N63">
        <v>-33.330065679835307</v>
      </c>
      <c r="O63" t="s">
        <v>29</v>
      </c>
      <c r="P63" t="s">
        <v>82</v>
      </c>
      <c r="Q63" t="s">
        <v>19</v>
      </c>
      <c r="R63" t="s">
        <v>18</v>
      </c>
      <c r="S63" t="b">
        <v>0</v>
      </c>
      <c r="T63" t="e">
        <v>#VALUE!</v>
      </c>
      <c r="U63" t="e">
        <v>#VALUE!</v>
      </c>
      <c r="V63" t="s">
        <v>228</v>
      </c>
      <c r="W63" t="s">
        <v>229</v>
      </c>
      <c r="X63" t="s">
        <v>186</v>
      </c>
      <c r="Y63" t="s">
        <v>186</v>
      </c>
    </row>
    <row r="64" spans="1:25" x14ac:dyDescent="0.6">
      <c r="A64" t="s">
        <v>116</v>
      </c>
      <c r="B64">
        <v>63</v>
      </c>
      <c r="C64">
        <v>193</v>
      </c>
      <c r="D64" s="5">
        <f>SUM($C$2:$C$82)/COUNT($C$2:$C$82)</f>
        <v>174.35802469135803</v>
      </c>
      <c r="E64" s="5">
        <f t="shared" si="0"/>
        <v>18.641975308641975</v>
      </c>
      <c r="F64" s="5">
        <f t="shared" si="1"/>
        <v>347.52324340801704</v>
      </c>
      <c r="G64" s="7" t="b">
        <f>COUNTIF($C$2:$C$82,C64)&gt;1</f>
        <v>1</v>
      </c>
      <c r="H64">
        <v>75.5</v>
      </c>
      <c r="I64">
        <v>1.93</v>
      </c>
      <c r="J64">
        <v>89</v>
      </c>
      <c r="K64">
        <v>196.25</v>
      </c>
      <c r="L64">
        <v>23.893258879433006</v>
      </c>
      <c r="M64">
        <v>33</v>
      </c>
      <c r="N64">
        <v>-9.4368068004023016</v>
      </c>
      <c r="O64" t="s">
        <v>33</v>
      </c>
      <c r="P64" t="s">
        <v>12</v>
      </c>
      <c r="Q64" t="s">
        <v>13</v>
      </c>
      <c r="R64">
        <v>92</v>
      </c>
      <c r="S64" t="b">
        <v>1</v>
      </c>
      <c r="T64">
        <v>33580</v>
      </c>
      <c r="U64">
        <v>12457</v>
      </c>
      <c r="V64" t="s">
        <v>18</v>
      </c>
      <c r="W64" t="s">
        <v>15</v>
      </c>
      <c r="X64" t="s">
        <v>117</v>
      </c>
      <c r="Y64" t="s">
        <v>117</v>
      </c>
    </row>
    <row r="65" spans="1:25" x14ac:dyDescent="0.6">
      <c r="A65" t="s">
        <v>198</v>
      </c>
      <c r="B65">
        <v>64</v>
      </c>
      <c r="C65">
        <v>193</v>
      </c>
      <c r="D65" s="5">
        <f>SUM($C$2:$C$82)/COUNT($C$2:$C$82)</f>
        <v>174.35802469135803</v>
      </c>
      <c r="E65" s="5">
        <f t="shared" si="0"/>
        <v>18.641975308641975</v>
      </c>
      <c r="F65" s="5">
        <f t="shared" si="1"/>
        <v>347.52324340801704</v>
      </c>
      <c r="G65" s="7" t="b">
        <f>COUNTIF($C$2:$C$82,C65)&gt;1</f>
        <v>1</v>
      </c>
      <c r="H65">
        <v>75.5</v>
      </c>
      <c r="I65">
        <v>1.93</v>
      </c>
      <c r="J65">
        <v>80</v>
      </c>
      <c r="K65">
        <v>176.25</v>
      </c>
      <c r="L65">
        <v>21.477086633198208</v>
      </c>
      <c r="M65">
        <v>45</v>
      </c>
      <c r="N65">
        <v>-11.852979046637099</v>
      </c>
      <c r="O65" t="s">
        <v>30</v>
      </c>
      <c r="P65" t="s">
        <v>12</v>
      </c>
      <c r="Q65" t="s">
        <v>33</v>
      </c>
      <c r="R65">
        <v>102</v>
      </c>
      <c r="S65" t="b">
        <v>1</v>
      </c>
      <c r="T65">
        <v>37230</v>
      </c>
      <c r="U65">
        <v>8807</v>
      </c>
      <c r="V65" t="s">
        <v>199</v>
      </c>
      <c r="W65" t="s">
        <v>15</v>
      </c>
      <c r="X65" t="s">
        <v>192</v>
      </c>
      <c r="Y65" t="s">
        <v>278</v>
      </c>
    </row>
    <row r="66" spans="1:25" x14ac:dyDescent="0.6">
      <c r="A66" t="s">
        <v>223</v>
      </c>
      <c r="B66">
        <v>65</v>
      </c>
      <c r="C66">
        <v>193</v>
      </c>
      <c r="D66" s="5">
        <f>SUM($C$2:$C$82)/COUNT($C$2:$C$82)</f>
        <v>174.35802469135803</v>
      </c>
      <c r="E66" s="5">
        <f t="shared" si="0"/>
        <v>18.641975308641975</v>
      </c>
      <c r="F66" s="5">
        <f t="shared" si="1"/>
        <v>347.52324340801704</v>
      </c>
      <c r="G66" s="7" t="b">
        <f>COUNTIF($C$2:$C$82,C66)&gt;1</f>
        <v>1</v>
      </c>
      <c r="H66">
        <v>75.5</v>
      </c>
      <c r="I66">
        <v>1.93</v>
      </c>
      <c r="J66">
        <v>48</v>
      </c>
      <c r="K66">
        <v>105.75</v>
      </c>
      <c r="L66">
        <v>12.886251979918924</v>
      </c>
      <c r="M66">
        <v>59</v>
      </c>
      <c r="N66">
        <v>-20.443813699916383</v>
      </c>
      <c r="O66" t="s">
        <v>29</v>
      </c>
      <c r="P66" t="s">
        <v>224</v>
      </c>
      <c r="Q66" t="s">
        <v>57</v>
      </c>
      <c r="R66" t="s">
        <v>18</v>
      </c>
      <c r="S66" t="b">
        <v>0</v>
      </c>
      <c r="T66" t="e">
        <v>#VALUE!</v>
      </c>
      <c r="U66" t="e">
        <v>#VALUE!</v>
      </c>
      <c r="V66" t="s">
        <v>225</v>
      </c>
      <c r="W66" t="s">
        <v>226</v>
      </c>
      <c r="X66" t="s">
        <v>186</v>
      </c>
      <c r="Y66" t="s">
        <v>186</v>
      </c>
    </row>
    <row r="67" spans="1:25" x14ac:dyDescent="0.6">
      <c r="A67" t="s">
        <v>124</v>
      </c>
      <c r="B67">
        <v>66</v>
      </c>
      <c r="C67">
        <v>196</v>
      </c>
      <c r="D67" s="5">
        <f>SUM($C$2:$C$82)/COUNT($C$2:$C$82)</f>
        <v>174.35802469135803</v>
      </c>
      <c r="E67" s="5">
        <f t="shared" ref="E67:E82" si="2">SUM(C67-D67)</f>
        <v>21.641975308641975</v>
      </c>
      <c r="F67" s="5">
        <f t="shared" si="1"/>
        <v>468.37509525986889</v>
      </c>
      <c r="G67" s="7" t="b">
        <f t="shared" ref="G67:G82" si="3">COUNTIF($C$2:$C$82,C67)&gt;1</f>
        <v>1</v>
      </c>
      <c r="H67">
        <v>77</v>
      </c>
      <c r="I67">
        <v>1.96</v>
      </c>
      <c r="J67">
        <v>66</v>
      </c>
      <c r="K67">
        <v>145.5</v>
      </c>
      <c r="L67">
        <v>17.180341524364849</v>
      </c>
      <c r="M67">
        <v>53</v>
      </c>
      <c r="N67">
        <v>-16.149724155470459</v>
      </c>
      <c r="O67" t="s">
        <v>29</v>
      </c>
      <c r="P67" t="s">
        <v>69</v>
      </c>
      <c r="Q67" t="s">
        <v>69</v>
      </c>
      <c r="R67">
        <v>52</v>
      </c>
      <c r="S67" t="b">
        <v>1</v>
      </c>
      <c r="T67">
        <v>18980</v>
      </c>
      <c r="U67">
        <v>27057</v>
      </c>
      <c r="V67" t="s">
        <v>26</v>
      </c>
      <c r="W67" t="s">
        <v>125</v>
      </c>
      <c r="X67" t="s">
        <v>126</v>
      </c>
      <c r="Y67" t="s">
        <v>278</v>
      </c>
    </row>
    <row r="68" spans="1:25" x14ac:dyDescent="0.6">
      <c r="A68" t="s">
        <v>165</v>
      </c>
      <c r="B68">
        <v>67</v>
      </c>
      <c r="C68">
        <v>196</v>
      </c>
      <c r="D68" s="5">
        <f>SUM($C$2:$C$82)/COUNT($C$2:$C$82)</f>
        <v>174.35802469135803</v>
      </c>
      <c r="E68" s="5">
        <f t="shared" si="2"/>
        <v>21.641975308641975</v>
      </c>
      <c r="F68" s="5">
        <f t="shared" ref="F68:F84" si="4">SUM(E68^2)</f>
        <v>468.37509525986889</v>
      </c>
      <c r="G68" s="7" t="b">
        <f t="shared" si="3"/>
        <v>1</v>
      </c>
      <c r="H68">
        <v>77</v>
      </c>
      <c r="I68">
        <v>1.96</v>
      </c>
      <c r="J68">
        <v>87</v>
      </c>
      <c r="K68">
        <v>191.75</v>
      </c>
      <c r="L68">
        <v>22.646813827571847</v>
      </c>
      <c r="M68">
        <v>40</v>
      </c>
      <c r="N68">
        <v>-10.68325185226346</v>
      </c>
      <c r="O68" t="s">
        <v>29</v>
      </c>
      <c r="P68" t="s">
        <v>64</v>
      </c>
      <c r="Q68" t="s">
        <v>45</v>
      </c>
      <c r="R68" t="s">
        <v>18</v>
      </c>
      <c r="S68" t="b">
        <v>0</v>
      </c>
      <c r="T68" t="e">
        <v>#VALUE!</v>
      </c>
      <c r="U68" t="e">
        <v>#VALUE!</v>
      </c>
      <c r="V68" t="s">
        <v>166</v>
      </c>
      <c r="W68" t="s">
        <v>167</v>
      </c>
      <c r="X68" t="s">
        <v>51</v>
      </c>
      <c r="Y68" t="s">
        <v>278</v>
      </c>
    </row>
    <row r="69" spans="1:25" x14ac:dyDescent="0.6">
      <c r="A69" t="s">
        <v>182</v>
      </c>
      <c r="B69">
        <v>68</v>
      </c>
      <c r="C69">
        <v>196</v>
      </c>
      <c r="D69" s="5">
        <f>SUM($C$2:$C$82)/COUNT($C$2:$C$82)</f>
        <v>174.35802469135803</v>
      </c>
      <c r="E69" s="5">
        <f t="shared" si="2"/>
        <v>21.641975308641975</v>
      </c>
      <c r="F69" s="5">
        <f t="shared" si="4"/>
        <v>468.37509525986889</v>
      </c>
      <c r="G69" s="7" t="b">
        <f t="shared" si="3"/>
        <v>1</v>
      </c>
      <c r="H69">
        <v>77</v>
      </c>
      <c r="I69">
        <v>1.96</v>
      </c>
      <c r="J69" t="s">
        <v>18</v>
      </c>
      <c r="K69" t="e">
        <v>#VALUE!</v>
      </c>
      <c r="L69">
        <v>0</v>
      </c>
      <c r="M69">
        <v>60</v>
      </c>
      <c r="N69">
        <v>-33.330065679835307</v>
      </c>
      <c r="O69" t="s">
        <v>29</v>
      </c>
      <c r="P69" t="s">
        <v>13</v>
      </c>
      <c r="Q69" t="s">
        <v>13</v>
      </c>
      <c r="R69" t="s">
        <v>18</v>
      </c>
      <c r="S69" t="b">
        <v>0</v>
      </c>
      <c r="T69" t="e">
        <v>#VALUE!</v>
      </c>
      <c r="U69" t="e">
        <v>#VALUE!</v>
      </c>
      <c r="V69" t="s">
        <v>183</v>
      </c>
      <c r="W69" t="s">
        <v>184</v>
      </c>
      <c r="X69" t="s">
        <v>126</v>
      </c>
      <c r="Y69" t="s">
        <v>278</v>
      </c>
    </row>
    <row r="70" spans="1:25" x14ac:dyDescent="0.6">
      <c r="A70" t="s">
        <v>162</v>
      </c>
      <c r="B70">
        <v>69</v>
      </c>
      <c r="C70">
        <v>198</v>
      </c>
      <c r="D70" s="5">
        <f>SUM($C$2:$C$82)/COUNT($C$2:$C$82)</f>
        <v>174.35802469135803</v>
      </c>
      <c r="E70" s="5">
        <f t="shared" si="2"/>
        <v>23.641975308641975</v>
      </c>
      <c r="F70" s="5">
        <f t="shared" si="4"/>
        <v>558.94299649443678</v>
      </c>
      <c r="G70" s="7" t="b">
        <f t="shared" si="3"/>
        <v>1</v>
      </c>
      <c r="H70">
        <v>77.5</v>
      </c>
      <c r="I70">
        <v>1.98</v>
      </c>
      <c r="J70">
        <v>82</v>
      </c>
      <c r="K70">
        <v>180.75</v>
      </c>
      <c r="L70">
        <v>20.91623303744516</v>
      </c>
      <c r="M70">
        <v>46</v>
      </c>
      <c r="N70">
        <v>-12.413832642390147</v>
      </c>
      <c r="O70" t="s">
        <v>30</v>
      </c>
      <c r="P70" t="s">
        <v>83</v>
      </c>
      <c r="Q70" t="s">
        <v>20</v>
      </c>
      <c r="R70">
        <v>92</v>
      </c>
      <c r="S70" t="b">
        <v>1</v>
      </c>
      <c r="T70">
        <v>33580</v>
      </c>
      <c r="U70">
        <v>12457</v>
      </c>
      <c r="V70" t="s">
        <v>163</v>
      </c>
      <c r="W70" t="s">
        <v>164</v>
      </c>
      <c r="X70" t="s">
        <v>51</v>
      </c>
      <c r="Y70" t="s">
        <v>278</v>
      </c>
    </row>
    <row r="71" spans="1:25" x14ac:dyDescent="0.6">
      <c r="A71" t="s">
        <v>209</v>
      </c>
      <c r="B71">
        <v>70</v>
      </c>
      <c r="C71">
        <v>198</v>
      </c>
      <c r="D71" s="5">
        <f>SUM($C$2:$C$82)/COUNT($C$2:$C$82)</f>
        <v>174.35802469135803</v>
      </c>
      <c r="E71" s="5">
        <f t="shared" si="2"/>
        <v>23.641975308641975</v>
      </c>
      <c r="F71" s="5">
        <f t="shared" si="4"/>
        <v>558.94299649443678</v>
      </c>
      <c r="G71" s="7" t="b">
        <f t="shared" si="3"/>
        <v>1</v>
      </c>
      <c r="H71">
        <v>77.5</v>
      </c>
      <c r="I71">
        <v>1.98</v>
      </c>
      <c r="J71">
        <v>102</v>
      </c>
      <c r="K71">
        <v>224.75</v>
      </c>
      <c r="L71">
        <v>26.017753290480563</v>
      </c>
      <c r="M71">
        <v>19</v>
      </c>
      <c r="N71">
        <v>-7.3123123893547444</v>
      </c>
      <c r="O71" t="s">
        <v>29</v>
      </c>
      <c r="P71" t="s">
        <v>33</v>
      </c>
      <c r="Q71" t="s">
        <v>20</v>
      </c>
      <c r="R71" t="s">
        <v>18</v>
      </c>
      <c r="S71" t="b">
        <v>0</v>
      </c>
      <c r="T71" t="e">
        <v>#VALUE!</v>
      </c>
      <c r="U71" t="e">
        <v>#VALUE!</v>
      </c>
      <c r="V71" t="s">
        <v>210</v>
      </c>
      <c r="W71" t="s">
        <v>211</v>
      </c>
      <c r="X71" t="s">
        <v>186</v>
      </c>
      <c r="Y71" t="s">
        <v>186</v>
      </c>
    </row>
    <row r="72" spans="1:25" x14ac:dyDescent="0.6">
      <c r="A72" t="s">
        <v>88</v>
      </c>
      <c r="B72">
        <v>71</v>
      </c>
      <c r="C72">
        <v>200</v>
      </c>
      <c r="D72" s="5">
        <f>SUM($C$2:$C$82)/COUNT($C$2:$C$82)</f>
        <v>174.35802469135803</v>
      </c>
      <c r="E72" s="5">
        <f t="shared" si="2"/>
        <v>25.641975308641975</v>
      </c>
      <c r="F72" s="5">
        <f t="shared" si="4"/>
        <v>657.51089772900468</v>
      </c>
      <c r="G72" s="7" t="b">
        <f t="shared" si="3"/>
        <v>0</v>
      </c>
      <c r="H72">
        <v>78.5</v>
      </c>
      <c r="I72">
        <v>2</v>
      </c>
      <c r="J72">
        <v>140</v>
      </c>
      <c r="K72">
        <v>308.75</v>
      </c>
      <c r="L72">
        <v>35</v>
      </c>
      <c r="M72">
        <v>5</v>
      </c>
      <c r="N72">
        <v>1.6699343201646926</v>
      </c>
      <c r="O72" t="s">
        <v>29</v>
      </c>
      <c r="P72" t="s">
        <v>89</v>
      </c>
      <c r="Q72" t="s">
        <v>25</v>
      </c>
      <c r="R72">
        <v>15</v>
      </c>
      <c r="S72" t="b">
        <v>1</v>
      </c>
      <c r="T72">
        <v>5475</v>
      </c>
      <c r="U72">
        <v>40562</v>
      </c>
      <c r="V72" t="s">
        <v>18</v>
      </c>
      <c r="W72" t="s">
        <v>21</v>
      </c>
      <c r="X72" t="s">
        <v>90</v>
      </c>
      <c r="Y72" t="s">
        <v>90</v>
      </c>
    </row>
    <row r="73" spans="1:25" x14ac:dyDescent="0.6">
      <c r="A73" t="s">
        <v>28</v>
      </c>
      <c r="B73">
        <v>72</v>
      </c>
      <c r="C73">
        <v>202</v>
      </c>
      <c r="D73" s="5">
        <f>SUM($C$2:$C$82)/COUNT($C$2:$C$82)</f>
        <v>174.35802469135803</v>
      </c>
      <c r="E73" s="5">
        <f t="shared" si="2"/>
        <v>27.641975308641975</v>
      </c>
      <c r="F73" s="5">
        <f t="shared" si="4"/>
        <v>764.07879896357258</v>
      </c>
      <c r="G73" s="7" t="b">
        <f t="shared" si="3"/>
        <v>0</v>
      </c>
      <c r="H73">
        <v>79.5</v>
      </c>
      <c r="I73">
        <v>2.02</v>
      </c>
      <c r="J73">
        <v>136</v>
      </c>
      <c r="K73">
        <v>299.75</v>
      </c>
      <c r="L73">
        <v>33.330065679835307</v>
      </c>
      <c r="M73">
        <v>10</v>
      </c>
      <c r="N73">
        <v>0</v>
      </c>
      <c r="O73" t="s">
        <v>29</v>
      </c>
      <c r="P73" t="s">
        <v>30</v>
      </c>
      <c r="Q73" t="s">
        <v>20</v>
      </c>
      <c r="R73">
        <v>41.9</v>
      </c>
      <c r="S73" t="b">
        <v>1</v>
      </c>
      <c r="T73">
        <v>15293.5</v>
      </c>
      <c r="U73">
        <v>30743.5</v>
      </c>
      <c r="V73" t="s">
        <v>14</v>
      </c>
      <c r="W73" t="s">
        <v>15</v>
      </c>
      <c r="X73" t="s">
        <v>31</v>
      </c>
      <c r="Y73" t="s">
        <v>277</v>
      </c>
    </row>
    <row r="74" spans="1:25" x14ac:dyDescent="0.6">
      <c r="A74" t="s">
        <v>128</v>
      </c>
      <c r="B74">
        <v>73</v>
      </c>
      <c r="C74">
        <v>206</v>
      </c>
      <c r="D74" s="5">
        <f>SUM($C$2:$C$82)/COUNT($C$2:$C$82)</f>
        <v>174.35802469135803</v>
      </c>
      <c r="E74" s="5">
        <f t="shared" si="2"/>
        <v>31.641975308641975</v>
      </c>
      <c r="F74" s="5">
        <f t="shared" si="4"/>
        <v>1001.2146014327084</v>
      </c>
      <c r="G74" s="7" t="b">
        <f t="shared" si="3"/>
        <v>1</v>
      </c>
      <c r="H74">
        <v>81</v>
      </c>
      <c r="I74">
        <v>2.06</v>
      </c>
      <c r="J74" t="s">
        <v>18</v>
      </c>
      <c r="K74" t="e">
        <v>#VALUE!</v>
      </c>
      <c r="L74">
        <v>0</v>
      </c>
      <c r="M74">
        <v>60</v>
      </c>
      <c r="N74">
        <v>-33.330065679835307</v>
      </c>
      <c r="O74" t="s">
        <v>29</v>
      </c>
      <c r="P74" t="s">
        <v>64</v>
      </c>
      <c r="Q74" t="s">
        <v>69</v>
      </c>
      <c r="R74" t="s">
        <v>18</v>
      </c>
      <c r="S74" t="b">
        <v>0</v>
      </c>
      <c r="T74" t="e">
        <v>#VALUE!</v>
      </c>
      <c r="U74" t="e">
        <v>#VALUE!</v>
      </c>
      <c r="V74" t="s">
        <v>26</v>
      </c>
      <c r="W74" t="s">
        <v>125</v>
      </c>
      <c r="X74" t="s">
        <v>117</v>
      </c>
      <c r="Y74" t="s">
        <v>117</v>
      </c>
    </row>
    <row r="75" spans="1:25" x14ac:dyDescent="0.6">
      <c r="A75" t="s">
        <v>244</v>
      </c>
      <c r="B75">
        <v>74</v>
      </c>
      <c r="C75">
        <v>206</v>
      </c>
      <c r="D75" s="5">
        <f>SUM($C$2:$C$82)/COUNT($C$2:$C$82)</f>
        <v>174.35802469135803</v>
      </c>
      <c r="E75" s="5">
        <f t="shared" si="2"/>
        <v>31.641975308641975</v>
      </c>
      <c r="F75" s="5">
        <f t="shared" si="4"/>
        <v>1001.2146014327084</v>
      </c>
      <c r="G75" s="7" t="b">
        <f t="shared" si="3"/>
        <v>1</v>
      </c>
      <c r="H75">
        <v>81</v>
      </c>
      <c r="I75">
        <v>2.06</v>
      </c>
      <c r="J75">
        <v>80</v>
      </c>
      <c r="K75">
        <v>176.25</v>
      </c>
      <c r="L75">
        <v>18.851918182675089</v>
      </c>
      <c r="M75">
        <v>49</v>
      </c>
      <c r="N75">
        <v>-14.478147497160219</v>
      </c>
      <c r="O75" t="s">
        <v>29</v>
      </c>
      <c r="P75" t="s">
        <v>82</v>
      </c>
      <c r="Q75" t="s">
        <v>45</v>
      </c>
      <c r="R75" t="s">
        <v>18</v>
      </c>
      <c r="S75" t="b">
        <v>0</v>
      </c>
      <c r="T75" t="e">
        <v>#VALUE!</v>
      </c>
      <c r="U75" t="e">
        <v>#VALUE!</v>
      </c>
      <c r="V75" t="s">
        <v>245</v>
      </c>
      <c r="W75" t="s">
        <v>246</v>
      </c>
      <c r="X75" t="s">
        <v>239</v>
      </c>
      <c r="Y75" t="s">
        <v>239</v>
      </c>
    </row>
    <row r="76" spans="1:25" x14ac:dyDescent="0.6">
      <c r="A76" t="s">
        <v>214</v>
      </c>
      <c r="B76">
        <v>75</v>
      </c>
      <c r="C76">
        <v>213</v>
      </c>
      <c r="D76" s="5">
        <f>SUM($C$2:$C$82)/COUNT($C$2:$C$82)</f>
        <v>174.35802469135803</v>
      </c>
      <c r="E76" s="5">
        <f t="shared" si="2"/>
        <v>38.641975308641975</v>
      </c>
      <c r="F76" s="5">
        <f t="shared" si="4"/>
        <v>1493.2022557536961</v>
      </c>
      <c r="G76" s="7" t="b">
        <f t="shared" si="3"/>
        <v>0</v>
      </c>
      <c r="H76">
        <v>83.5</v>
      </c>
      <c r="I76">
        <v>2.13</v>
      </c>
      <c r="J76" t="s">
        <v>18</v>
      </c>
      <c r="K76" t="e">
        <v>#VALUE!</v>
      </c>
      <c r="L76">
        <v>0</v>
      </c>
      <c r="M76">
        <v>60</v>
      </c>
      <c r="N76">
        <v>-33.330065679835307</v>
      </c>
      <c r="O76" t="s">
        <v>29</v>
      </c>
      <c r="P76" t="s">
        <v>82</v>
      </c>
      <c r="Q76" t="s">
        <v>45</v>
      </c>
      <c r="R76" t="s">
        <v>18</v>
      </c>
      <c r="S76" t="b">
        <v>0</v>
      </c>
      <c r="T76" t="e">
        <v>#VALUE!</v>
      </c>
      <c r="U76" t="e">
        <v>#VALUE!</v>
      </c>
      <c r="V76" t="s">
        <v>86</v>
      </c>
      <c r="W76" t="s">
        <v>213</v>
      </c>
      <c r="X76" t="s">
        <v>186</v>
      </c>
      <c r="Y76" t="s">
        <v>186</v>
      </c>
    </row>
    <row r="77" spans="1:25" x14ac:dyDescent="0.6">
      <c r="A77" t="s">
        <v>234</v>
      </c>
      <c r="B77">
        <v>76</v>
      </c>
      <c r="C77">
        <v>216</v>
      </c>
      <c r="D77" s="5">
        <f>SUM($C$2:$C$82)/COUNT($C$2:$C$82)</f>
        <v>174.35802469135803</v>
      </c>
      <c r="E77" s="5">
        <f t="shared" si="2"/>
        <v>41.641975308641975</v>
      </c>
      <c r="F77" s="5">
        <f t="shared" si="4"/>
        <v>1734.0541076055479</v>
      </c>
      <c r="G77" s="7" t="b">
        <f t="shared" si="3"/>
        <v>0</v>
      </c>
      <c r="H77">
        <v>85</v>
      </c>
      <c r="I77">
        <v>2.16</v>
      </c>
      <c r="J77">
        <v>159</v>
      </c>
      <c r="K77">
        <v>350.5</v>
      </c>
      <c r="L77">
        <v>34.079218106995881</v>
      </c>
      <c r="M77">
        <v>7</v>
      </c>
      <c r="N77">
        <v>0.74915242716057406</v>
      </c>
      <c r="O77" t="s">
        <v>29</v>
      </c>
      <c r="P77" t="s">
        <v>235</v>
      </c>
      <c r="Q77" t="s">
        <v>236</v>
      </c>
      <c r="R77" t="s">
        <v>18</v>
      </c>
      <c r="S77" t="b">
        <v>0</v>
      </c>
      <c r="T77" t="e">
        <v>#VALUE!</v>
      </c>
      <c r="U77" t="e">
        <v>#VALUE!</v>
      </c>
      <c r="V77" t="s">
        <v>237</v>
      </c>
      <c r="W77" t="s">
        <v>238</v>
      </c>
      <c r="X77" t="s">
        <v>239</v>
      </c>
      <c r="Y77" t="s">
        <v>239</v>
      </c>
    </row>
    <row r="78" spans="1:25" x14ac:dyDescent="0.6">
      <c r="A78" t="s">
        <v>127</v>
      </c>
      <c r="B78">
        <v>77</v>
      </c>
      <c r="C78">
        <v>224</v>
      </c>
      <c r="D78" s="5">
        <f>SUM($C$2:$C$82)/COUNT($C$2:$C$82)</f>
        <v>174.35802469135803</v>
      </c>
      <c r="E78" s="5">
        <f t="shared" si="2"/>
        <v>49.641975308641975</v>
      </c>
      <c r="F78" s="5">
        <f t="shared" si="4"/>
        <v>2464.3257125438195</v>
      </c>
      <c r="G78" s="7" t="b">
        <f t="shared" si="3"/>
        <v>0</v>
      </c>
      <c r="H78">
        <v>88</v>
      </c>
      <c r="I78">
        <v>2.2400000000000002</v>
      </c>
      <c r="J78">
        <v>82</v>
      </c>
      <c r="K78">
        <v>180.75</v>
      </c>
      <c r="L78">
        <v>16.342474489795915</v>
      </c>
      <c r="M78">
        <v>56</v>
      </c>
      <c r="N78">
        <v>-16.987591190039392</v>
      </c>
      <c r="O78" t="s">
        <v>29</v>
      </c>
      <c r="P78" t="s">
        <v>82</v>
      </c>
      <c r="Q78" t="s">
        <v>69</v>
      </c>
      <c r="R78" t="s">
        <v>18</v>
      </c>
      <c r="S78" t="b">
        <v>0</v>
      </c>
      <c r="T78" t="e">
        <v>#VALUE!</v>
      </c>
      <c r="U78" t="e">
        <v>#VALUE!</v>
      </c>
      <c r="V78" t="s">
        <v>26</v>
      </c>
      <c r="W78" t="s">
        <v>125</v>
      </c>
      <c r="X78" t="s">
        <v>117</v>
      </c>
      <c r="Y78" t="s">
        <v>117</v>
      </c>
    </row>
    <row r="79" spans="1:25" x14ac:dyDescent="0.6">
      <c r="A79" t="s">
        <v>56</v>
      </c>
      <c r="B79">
        <v>78</v>
      </c>
      <c r="C79">
        <v>228</v>
      </c>
      <c r="D79" s="5">
        <f>SUM($C$2:$C$82)/COUNT($C$2:$C$82)</f>
        <v>174.35802469135803</v>
      </c>
      <c r="E79" s="5">
        <f t="shared" si="2"/>
        <v>53.641975308641975</v>
      </c>
      <c r="F79" s="5">
        <f t="shared" si="4"/>
        <v>2877.4615150129553</v>
      </c>
      <c r="G79" s="7" t="b">
        <f t="shared" si="3"/>
        <v>0</v>
      </c>
      <c r="H79">
        <v>89.5</v>
      </c>
      <c r="I79">
        <v>2.2799999999999998</v>
      </c>
      <c r="J79">
        <v>112</v>
      </c>
      <c r="K79">
        <v>247</v>
      </c>
      <c r="L79">
        <v>21.545090797168363</v>
      </c>
      <c r="M79">
        <v>44</v>
      </c>
      <c r="N79">
        <v>-11.784974882666944</v>
      </c>
      <c r="O79" t="s">
        <v>33</v>
      </c>
      <c r="P79" t="s">
        <v>57</v>
      </c>
      <c r="Q79" t="s">
        <v>13</v>
      </c>
      <c r="R79">
        <v>200</v>
      </c>
      <c r="S79" t="b">
        <v>1</v>
      </c>
      <c r="T79">
        <v>73000</v>
      </c>
      <c r="U79">
        <v>-26963</v>
      </c>
      <c r="V79" t="s">
        <v>58</v>
      </c>
      <c r="W79" t="s">
        <v>59</v>
      </c>
      <c r="X79" t="s">
        <v>36</v>
      </c>
      <c r="Y79" t="s">
        <v>277</v>
      </c>
    </row>
    <row r="80" spans="1:25" x14ac:dyDescent="0.6">
      <c r="A80" t="s">
        <v>212</v>
      </c>
      <c r="B80">
        <v>79</v>
      </c>
      <c r="C80">
        <v>229</v>
      </c>
      <c r="D80" s="5">
        <f>SUM($C$2:$C$82)/COUNT($C$2:$C$82)</f>
        <v>174.35802469135803</v>
      </c>
      <c r="E80" s="5">
        <f t="shared" si="2"/>
        <v>54.641975308641975</v>
      </c>
      <c r="F80" s="5">
        <f t="shared" si="4"/>
        <v>2985.7454656302393</v>
      </c>
      <c r="G80" s="7" t="b">
        <f t="shared" si="3"/>
        <v>0</v>
      </c>
      <c r="H80">
        <v>90</v>
      </c>
      <c r="I80">
        <v>2.29</v>
      </c>
      <c r="J80">
        <v>88</v>
      </c>
      <c r="K80">
        <v>194</v>
      </c>
      <c r="L80">
        <v>16.780763143342039</v>
      </c>
      <c r="M80">
        <v>54</v>
      </c>
      <c r="N80">
        <v>-16.549302536493268</v>
      </c>
      <c r="O80" t="s">
        <v>29</v>
      </c>
      <c r="P80" t="s">
        <v>82</v>
      </c>
      <c r="Q80" t="s">
        <v>45</v>
      </c>
      <c r="R80" t="s">
        <v>18</v>
      </c>
      <c r="S80" t="b">
        <v>0</v>
      </c>
      <c r="T80" t="e">
        <v>#VALUE!</v>
      </c>
      <c r="U80" t="e">
        <v>#VALUE!</v>
      </c>
      <c r="V80" t="s">
        <v>86</v>
      </c>
      <c r="W80" t="s">
        <v>213</v>
      </c>
      <c r="X80" t="s">
        <v>186</v>
      </c>
      <c r="Y80" t="s">
        <v>186</v>
      </c>
    </row>
    <row r="81" spans="1:25" x14ac:dyDescent="0.6">
      <c r="A81" t="s">
        <v>240</v>
      </c>
      <c r="B81">
        <v>80</v>
      </c>
      <c r="C81">
        <v>234</v>
      </c>
      <c r="D81" s="5">
        <f>SUM($C$2:$C$82)/COUNT($C$2:$C$82)</f>
        <v>174.35802469135803</v>
      </c>
      <c r="E81" s="5">
        <f t="shared" si="2"/>
        <v>59.641975308641975</v>
      </c>
      <c r="F81" s="5">
        <f t="shared" si="4"/>
        <v>3557.1652187166592</v>
      </c>
      <c r="G81" s="7" t="b">
        <f t="shared" si="3"/>
        <v>0</v>
      </c>
      <c r="H81">
        <v>92</v>
      </c>
      <c r="I81">
        <v>2.34</v>
      </c>
      <c r="J81">
        <v>136</v>
      </c>
      <c r="K81">
        <v>299.75</v>
      </c>
      <c r="L81">
        <v>24.837460734896638</v>
      </c>
      <c r="M81">
        <v>26</v>
      </c>
      <c r="N81">
        <v>-8.4926049449386696</v>
      </c>
      <c r="O81" t="s">
        <v>33</v>
      </c>
      <c r="P81" t="s">
        <v>33</v>
      </c>
      <c r="Q81" t="s">
        <v>13</v>
      </c>
      <c r="R81" t="s">
        <v>18</v>
      </c>
      <c r="S81" t="b">
        <v>0</v>
      </c>
      <c r="T81" t="e">
        <v>#VALUE!</v>
      </c>
      <c r="U81" t="e">
        <v>#VALUE!</v>
      </c>
      <c r="V81" t="s">
        <v>58</v>
      </c>
      <c r="W81" t="s">
        <v>59</v>
      </c>
      <c r="X81" t="s">
        <v>239</v>
      </c>
      <c r="Y81" t="s">
        <v>239</v>
      </c>
    </row>
    <row r="82" spans="1:25" x14ac:dyDescent="0.6">
      <c r="A82" t="s">
        <v>176</v>
      </c>
      <c r="B82">
        <v>81</v>
      </c>
      <c r="C82">
        <v>264</v>
      </c>
      <c r="D82" s="5">
        <f>SUM($C$2:$C$82)/COUNT($C$2:$C$82)</f>
        <v>174.35802469135803</v>
      </c>
      <c r="E82" s="5">
        <f t="shared" si="2"/>
        <v>89.641975308641975</v>
      </c>
      <c r="F82" s="5">
        <f t="shared" si="4"/>
        <v>8035.6837372351774</v>
      </c>
      <c r="G82" s="7" t="b">
        <f t="shared" si="3"/>
        <v>0</v>
      </c>
      <c r="H82">
        <v>103.5</v>
      </c>
      <c r="I82">
        <v>2.64</v>
      </c>
      <c r="J82" t="s">
        <v>18</v>
      </c>
      <c r="K82" t="e">
        <v>#VALUE!</v>
      </c>
      <c r="L82">
        <v>0</v>
      </c>
      <c r="M82">
        <v>60</v>
      </c>
      <c r="N82">
        <v>-33.330065679835307</v>
      </c>
      <c r="O82" t="s">
        <v>29</v>
      </c>
      <c r="P82" t="s">
        <v>30</v>
      </c>
      <c r="Q82" t="s">
        <v>20</v>
      </c>
      <c r="R82" t="s">
        <v>18</v>
      </c>
      <c r="S82" t="b">
        <v>0</v>
      </c>
      <c r="T82" t="e">
        <v>#VALUE!</v>
      </c>
      <c r="U82" t="e">
        <v>#VALUE!</v>
      </c>
      <c r="V82" t="s">
        <v>177</v>
      </c>
      <c r="W82" t="s">
        <v>178</v>
      </c>
      <c r="X82" t="s">
        <v>117</v>
      </c>
      <c r="Y82" t="s">
        <v>117</v>
      </c>
    </row>
    <row r="83" spans="1:25" x14ac:dyDescent="0.6">
      <c r="B83" s="5">
        <f>VLOOKUP(40.5,B2:C82,2)</f>
        <v>180</v>
      </c>
      <c r="C83" s="5">
        <f>COUNT(C2:C82)/2</f>
        <v>40.5</v>
      </c>
      <c r="D83" s="5">
        <f>AVERAGE(C2:C82)</f>
        <v>174.35802469135803</v>
      </c>
      <c r="E83" s="7"/>
      <c r="F83" s="5">
        <f>AVERAGE(F2:F82)</f>
        <v>1194.0570035055634</v>
      </c>
    </row>
    <row r="84" spans="1:25" x14ac:dyDescent="0.6">
      <c r="B84" s="5">
        <f>MEDIAN(C2:C82)</f>
        <v>180</v>
      </c>
      <c r="C84" s="5">
        <f>MODE(C2:C82)</f>
        <v>183</v>
      </c>
      <c r="E84" s="7" t="s">
        <v>296</v>
      </c>
      <c r="F84" s="5">
        <f>_xlfn.VAR.P(E2:E82)</f>
        <v>1194.0570035055632</v>
      </c>
    </row>
    <row r="85" spans="1:25" x14ac:dyDescent="0.6">
      <c r="C85" s="7">
        <f>ROUNDUP(COUNT(C2:C82)*0.9,0)</f>
        <v>73</v>
      </c>
    </row>
    <row r="86" spans="1:25" x14ac:dyDescent="0.6">
      <c r="D86" t="s">
        <v>297</v>
      </c>
      <c r="E86" s="5">
        <f>STDEVP(E2:E82)</f>
        <v>34.555129915912097</v>
      </c>
    </row>
    <row r="87" spans="1:25" x14ac:dyDescent="0.6">
      <c r="B87" t="s">
        <v>299</v>
      </c>
      <c r="C87">
        <f>VLOOKUP(73,B2:C82,2)</f>
        <v>206</v>
      </c>
    </row>
    <row r="88" spans="1:25" x14ac:dyDescent="0.6">
      <c r="B88" t="s">
        <v>300</v>
      </c>
      <c r="C88">
        <f>_xlfn.PERCENTILE.INC(C2:C82, 0.9)</f>
        <v>206</v>
      </c>
    </row>
    <row r="89" spans="1:25" x14ac:dyDescent="0.6">
      <c r="B89" t="s">
        <v>301</v>
      </c>
      <c r="C89">
        <f>VLOOKUP(21,B2:C82,2)</f>
        <v>167</v>
      </c>
    </row>
    <row r="90" spans="1:25" x14ac:dyDescent="0.6">
      <c r="B90" t="s">
        <v>302</v>
      </c>
      <c r="C90">
        <f>QUARTILE(C2:C82,1)</f>
        <v>167</v>
      </c>
    </row>
  </sheetData>
  <sortState xmlns:xlrd2="http://schemas.microsoft.com/office/spreadsheetml/2017/richdata2" ref="A2:Y84">
    <sortCondition ref="C1:C8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91CDE-F667-4CCD-9594-841E2387438A}">
  <dimension ref="A1:B10"/>
  <sheetViews>
    <sheetView workbookViewId="0">
      <selection activeCell="B8" sqref="B8"/>
    </sheetView>
  </sheetViews>
  <sheetFormatPr defaultRowHeight="15.6" x14ac:dyDescent="0.6"/>
  <cols>
    <col min="2" max="2" width="9.1484375" bestFit="1" customWidth="1"/>
  </cols>
  <sheetData>
    <row r="1" spans="1:2" x14ac:dyDescent="0.6">
      <c r="A1" t="s">
        <v>268</v>
      </c>
      <c r="B1" t="s">
        <v>291</v>
      </c>
    </row>
    <row r="2" spans="1:2" x14ac:dyDescent="0.6">
      <c r="A2" t="s">
        <v>269</v>
      </c>
      <c r="B2">
        <v>174.35802469135803</v>
      </c>
    </row>
    <row r="3" spans="1:2" x14ac:dyDescent="0.6">
      <c r="A3" t="s">
        <v>270</v>
      </c>
      <c r="B3">
        <v>180</v>
      </c>
    </row>
    <row r="4" spans="1:2" x14ac:dyDescent="0.6">
      <c r="A4" t="s">
        <v>284</v>
      </c>
      <c r="B4">
        <v>183</v>
      </c>
    </row>
    <row r="5" spans="1:2" x14ac:dyDescent="0.6">
      <c r="A5" t="s">
        <v>285</v>
      </c>
      <c r="B5" t="s">
        <v>293</v>
      </c>
    </row>
    <row r="6" spans="1:2" x14ac:dyDescent="0.6">
      <c r="A6" t="s">
        <v>286</v>
      </c>
      <c r="B6" s="9" t="s">
        <v>298</v>
      </c>
    </row>
    <row r="7" spans="1:2" x14ac:dyDescent="0.6">
      <c r="A7" t="s">
        <v>287</v>
      </c>
      <c r="B7">
        <v>206</v>
      </c>
    </row>
    <row r="8" spans="1:2" x14ac:dyDescent="0.6">
      <c r="A8" t="s">
        <v>288</v>
      </c>
    </row>
    <row r="9" spans="1:2" x14ac:dyDescent="0.6">
      <c r="A9" t="s">
        <v>289</v>
      </c>
    </row>
    <row r="10" spans="1:2" x14ac:dyDescent="0.6">
      <c r="A10" t="s">
        <v>290</v>
      </c>
    </row>
  </sheetData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9AD6C-192F-4898-AF47-D19C02D8C3A5}">
  <dimension ref="A1:B10"/>
  <sheetViews>
    <sheetView workbookViewId="0">
      <selection activeCell="B20" sqref="B20"/>
    </sheetView>
  </sheetViews>
  <sheetFormatPr defaultRowHeight="15.6" x14ac:dyDescent="0.6"/>
  <cols>
    <col min="1" max="1" width="10.34765625" bestFit="1" customWidth="1"/>
    <col min="2" max="2" width="23.75" bestFit="1" customWidth="1"/>
  </cols>
  <sheetData>
    <row r="1" spans="1:2" x14ac:dyDescent="0.6">
      <c r="A1" s="1" t="s">
        <v>0</v>
      </c>
      <c r="B1" s="2" t="s">
        <v>254</v>
      </c>
    </row>
    <row r="2" spans="1:2" x14ac:dyDescent="0.6">
      <c r="A2" s="1" t="s">
        <v>1</v>
      </c>
      <c r="B2" s="2" t="s">
        <v>255</v>
      </c>
    </row>
    <row r="3" spans="1:2" x14ac:dyDescent="0.6">
      <c r="A3" s="1" t="s">
        <v>2</v>
      </c>
      <c r="B3" s="2" t="s">
        <v>256</v>
      </c>
    </row>
    <row r="4" spans="1:2" x14ac:dyDescent="0.6">
      <c r="A4" s="1" t="s">
        <v>3</v>
      </c>
      <c r="B4" s="2" t="s">
        <v>257</v>
      </c>
    </row>
    <row r="5" spans="1:2" x14ac:dyDescent="0.6">
      <c r="A5" s="1" t="s">
        <v>4</v>
      </c>
      <c r="B5" s="2" t="s">
        <v>258</v>
      </c>
    </row>
    <row r="6" spans="1:2" x14ac:dyDescent="0.6">
      <c r="A6" s="1" t="s">
        <v>5</v>
      </c>
      <c r="B6" s="2" t="s">
        <v>259</v>
      </c>
    </row>
    <row r="7" spans="1:2" x14ac:dyDescent="0.6">
      <c r="A7" s="1" t="s">
        <v>6</v>
      </c>
      <c r="B7" s="2" t="s">
        <v>260</v>
      </c>
    </row>
    <row r="8" spans="1:2" x14ac:dyDescent="0.6">
      <c r="A8" s="1" t="s">
        <v>7</v>
      </c>
      <c r="B8" s="2" t="s">
        <v>261</v>
      </c>
    </row>
    <row r="9" spans="1:2" x14ac:dyDescent="0.6">
      <c r="A9" s="1" t="s">
        <v>8</v>
      </c>
      <c r="B9" s="2" t="s">
        <v>262</v>
      </c>
    </row>
    <row r="10" spans="1:2" x14ac:dyDescent="0.6">
      <c r="A10" s="1" t="s">
        <v>9</v>
      </c>
      <c r="B10" s="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starwars</vt:lpstr>
      <vt:lpstr>Height Stats</vt:lpstr>
      <vt:lpstr>Answers</vt:lpstr>
      <vt:lpstr>data_dictionary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Mary van Valkenburg</dc:creator>
  <cp:keywords/>
  <dc:description/>
  <cp:lastModifiedBy>Deva  Holub</cp:lastModifiedBy>
  <cp:revision/>
  <dcterms:created xsi:type="dcterms:W3CDTF">2020-02-17T22:11:26Z</dcterms:created>
  <dcterms:modified xsi:type="dcterms:W3CDTF">2026-01-16T15:08:54Z</dcterms:modified>
  <cp:category/>
  <cp:contentStatus/>
</cp:coreProperties>
</file>