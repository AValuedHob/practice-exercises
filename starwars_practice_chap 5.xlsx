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h\workspace\excel\practice-exercises\"/>
    </mc:Choice>
  </mc:AlternateContent>
  <xr:revisionPtr revIDLastSave="0" documentId="13_ncr:1_{35C3AD18-3CC2-45AA-B5EF-1F44CE1D3BE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tarwars" sheetId="1" r:id="rId1"/>
    <sheet name="Answers" sheetId="3" r:id="rId2"/>
    <sheet name="data_dictionar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B92" i="1"/>
  <c r="P16" i="1"/>
  <c r="P39" i="1"/>
  <c r="P41" i="1"/>
  <c r="P80" i="1"/>
  <c r="P87" i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O40" i="1"/>
  <c r="P40" i="1" s="1"/>
  <c r="O41" i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O88" i="1"/>
  <c r="P88" i="1" s="1"/>
  <c r="O2" i="1"/>
  <c r="P2" i="1" s="1"/>
  <c r="O3" i="1"/>
  <c r="P3" i="1" s="1"/>
  <c r="O4" i="1"/>
  <c r="P4" i="1" s="1"/>
  <c r="O5" i="1"/>
  <c r="P5" i="1" s="1"/>
  <c r="D2" i="1"/>
  <c r="G2" i="1" s="1"/>
  <c r="D3" i="1"/>
  <c r="D4" i="1"/>
  <c r="D5" i="1"/>
  <c r="D6" i="1"/>
  <c r="G6" i="1" s="1"/>
  <c r="D7" i="1"/>
  <c r="G7" i="1" s="1"/>
  <c r="D8" i="1"/>
  <c r="G8" i="1" s="1"/>
  <c r="D9" i="1"/>
  <c r="G9" i="1" s="1"/>
  <c r="D10" i="1"/>
  <c r="G10" i="1" s="1"/>
  <c r="D11" i="1"/>
  <c r="D12" i="1"/>
  <c r="D13" i="1"/>
  <c r="D14" i="1"/>
  <c r="D15" i="1"/>
  <c r="G15" i="1" s="1"/>
  <c r="D16" i="1"/>
  <c r="G16" i="1" s="1"/>
  <c r="D17" i="1"/>
  <c r="G17" i="1" s="1"/>
  <c r="D18" i="1"/>
  <c r="G18" i="1" s="1"/>
  <c r="D19" i="1"/>
  <c r="D20" i="1"/>
  <c r="D21" i="1"/>
  <c r="D22" i="1"/>
  <c r="G22" i="1" s="1"/>
  <c r="D23" i="1"/>
  <c r="G23" i="1" s="1"/>
  <c r="D24" i="1"/>
  <c r="G24" i="1" s="1"/>
  <c r="D25" i="1"/>
  <c r="G25" i="1" s="1"/>
  <c r="D26" i="1"/>
  <c r="G26" i="1" s="1"/>
  <c r="D27" i="1"/>
  <c r="D28" i="1"/>
  <c r="D29" i="1"/>
  <c r="D30" i="1"/>
  <c r="G30" i="1" s="1"/>
  <c r="D31" i="1"/>
  <c r="G31" i="1" s="1"/>
  <c r="D32" i="1"/>
  <c r="G32" i="1" s="1"/>
  <c r="D33" i="1"/>
  <c r="G33" i="1" s="1"/>
  <c r="D34" i="1"/>
  <c r="D35" i="1"/>
  <c r="D36" i="1"/>
  <c r="D37" i="1"/>
  <c r="G37" i="1" s="1"/>
  <c r="D38" i="1"/>
  <c r="D39" i="1"/>
  <c r="D40" i="1"/>
  <c r="G40" i="1" s="1"/>
  <c r="D41" i="1"/>
  <c r="D42" i="1"/>
  <c r="D43" i="1"/>
  <c r="D44" i="1"/>
  <c r="D45" i="1"/>
  <c r="D46" i="1"/>
  <c r="D47" i="1"/>
  <c r="D48" i="1"/>
  <c r="G48" i="1" s="1"/>
  <c r="D49" i="1"/>
  <c r="D50" i="1"/>
  <c r="D51" i="1"/>
  <c r="D52" i="1"/>
  <c r="D53" i="1"/>
  <c r="G53" i="1" s="1"/>
  <c r="D54" i="1"/>
  <c r="D55" i="1"/>
  <c r="D56" i="1"/>
  <c r="G56" i="1" s="1"/>
  <c r="D57" i="1"/>
  <c r="D58" i="1"/>
  <c r="G58" i="1" s="1"/>
  <c r="D59" i="1"/>
  <c r="D60" i="1"/>
  <c r="D61" i="1"/>
  <c r="G61" i="1" s="1"/>
  <c r="D62" i="1"/>
  <c r="D63" i="1"/>
  <c r="D64" i="1"/>
  <c r="G64" i="1" s="1"/>
  <c r="D65" i="1"/>
  <c r="D66" i="1"/>
  <c r="D67" i="1"/>
  <c r="D68" i="1"/>
  <c r="D69" i="1"/>
  <c r="D70" i="1"/>
  <c r="D71" i="1"/>
  <c r="D72" i="1"/>
  <c r="D73" i="1"/>
  <c r="D74" i="1"/>
  <c r="G74" i="1" s="1"/>
  <c r="D75" i="1"/>
  <c r="D76" i="1"/>
  <c r="D77" i="1"/>
  <c r="D78" i="1"/>
  <c r="D79" i="1"/>
  <c r="D80" i="1"/>
  <c r="G80" i="1" s="1"/>
  <c r="D81" i="1"/>
  <c r="D82" i="1"/>
  <c r="D83" i="1"/>
  <c r="D84" i="1"/>
  <c r="D85" i="1"/>
  <c r="D86" i="1"/>
  <c r="D87" i="1"/>
  <c r="D88" i="1"/>
  <c r="G3" i="1"/>
  <c r="G4" i="1"/>
  <c r="G11" i="1"/>
  <c r="G12" i="1"/>
  <c r="G13" i="1"/>
  <c r="G14" i="1"/>
  <c r="G19" i="1"/>
  <c r="G20" i="1"/>
  <c r="G27" i="1"/>
  <c r="G28" i="1"/>
  <c r="G35" i="1"/>
  <c r="G43" i="1"/>
  <c r="G44" i="1"/>
  <c r="G51" i="1"/>
  <c r="G68" i="1"/>
  <c r="G76" i="1"/>
  <c r="G77" i="1"/>
  <c r="G83" i="1" l="1"/>
  <c r="G67" i="1"/>
  <c r="G42" i="1"/>
  <c r="G81" i="1"/>
  <c r="G73" i="1"/>
  <c r="G65" i="1"/>
  <c r="G57" i="1"/>
  <c r="G49" i="1"/>
  <c r="G41" i="1"/>
  <c r="G84" i="1"/>
  <c r="G60" i="1"/>
  <c r="G52" i="1"/>
  <c r="G36" i="1"/>
  <c r="G75" i="1"/>
  <c r="G59" i="1"/>
  <c r="G82" i="1"/>
  <c r="G66" i="1"/>
  <c r="G50" i="1"/>
  <c r="G34" i="1"/>
  <c r="G88" i="1"/>
  <c r="G72" i="1"/>
  <c r="G21" i="1"/>
  <c r="G87" i="1"/>
  <c r="G79" i="1"/>
  <c r="G71" i="1"/>
  <c r="G63" i="1"/>
  <c r="G55" i="1"/>
  <c r="G47" i="1"/>
  <c r="I47" i="1" s="1"/>
  <c r="G39" i="1"/>
  <c r="G85" i="1"/>
  <c r="I44" i="1"/>
  <c r="G86" i="1"/>
  <c r="G78" i="1"/>
  <c r="G70" i="1"/>
  <c r="G62" i="1"/>
  <c r="I62" i="1" s="1"/>
  <c r="G54" i="1"/>
  <c r="I54" i="1" s="1"/>
  <c r="G46" i="1"/>
  <c r="G38" i="1"/>
  <c r="G69" i="1"/>
  <c r="G45" i="1"/>
  <c r="G29" i="1"/>
  <c r="G5" i="1"/>
  <c r="G89" i="1" s="1"/>
  <c r="I80" i="1"/>
  <c r="I64" i="1"/>
  <c r="I16" i="1"/>
  <c r="I8" i="1"/>
  <c r="I27" i="1"/>
  <c r="I19" i="1"/>
  <c r="I12" i="1"/>
  <c r="I88" i="1" l="1"/>
  <c r="I55" i="1"/>
  <c r="I20" i="1"/>
  <c r="I17" i="1"/>
  <c r="I25" i="1"/>
  <c r="I29" i="1"/>
  <c r="H16" i="1"/>
  <c r="I63" i="1"/>
  <c r="I83" i="1"/>
  <c r="I46" i="1"/>
  <c r="I86" i="1"/>
  <c r="I87" i="1"/>
  <c r="I36" i="1"/>
  <c r="H21" i="1"/>
  <c r="I52" i="1"/>
  <c r="I41" i="1"/>
  <c r="I60" i="1"/>
  <c r="I7" i="1"/>
  <c r="I10" i="1"/>
  <c r="I43" i="1"/>
  <c r="I32" i="1"/>
  <c r="I79" i="1"/>
  <c r="I75" i="1"/>
  <c r="I42" i="1"/>
  <c r="I33" i="1"/>
  <c r="I24" i="1"/>
  <c r="I68" i="1"/>
  <c r="I65" i="1"/>
  <c r="I51" i="1"/>
  <c r="I48" i="1"/>
  <c r="H78" i="1"/>
  <c r="I5" i="1"/>
  <c r="I49" i="1"/>
  <c r="I6" i="1"/>
  <c r="H45" i="1"/>
  <c r="I23" i="1"/>
  <c r="I26" i="1"/>
  <c r="I14" i="1"/>
  <c r="I56" i="1"/>
  <c r="I69" i="1"/>
  <c r="I37" i="1"/>
  <c r="I71" i="1"/>
  <c r="I85" i="1"/>
  <c r="I15" i="1"/>
  <c r="I22" i="1"/>
  <c r="H39" i="1"/>
  <c r="I35" i="1"/>
  <c r="I18" i="1"/>
  <c r="I31" i="1"/>
  <c r="I3" i="1"/>
  <c r="I2" i="1"/>
  <c r="I53" i="1"/>
  <c r="I38" i="1"/>
  <c r="I9" i="1"/>
  <c r="I11" i="1"/>
  <c r="I30" i="1"/>
  <c r="I13" i="1"/>
  <c r="H44" i="1"/>
  <c r="H81" i="1"/>
  <c r="H17" i="1"/>
  <c r="H68" i="1"/>
  <c r="H61" i="1"/>
  <c r="H14" i="1"/>
  <c r="H74" i="1"/>
  <c r="H53" i="1"/>
  <c r="H47" i="1"/>
  <c r="I21" i="1"/>
  <c r="H50" i="1"/>
  <c r="H3" i="1"/>
  <c r="H76" i="1"/>
  <c r="H22" i="1"/>
  <c r="H7" i="1"/>
  <c r="H38" i="1"/>
  <c r="H85" i="1"/>
  <c r="H63" i="1"/>
  <c r="H66" i="1"/>
  <c r="I84" i="1"/>
  <c r="I66" i="1"/>
  <c r="H11" i="1"/>
  <c r="I4" i="1"/>
  <c r="H48" i="1"/>
  <c r="H8" i="1"/>
  <c r="H30" i="1"/>
  <c r="H15" i="1"/>
  <c r="H59" i="1"/>
  <c r="H51" i="1"/>
  <c r="H69" i="1"/>
  <c r="H34" i="1"/>
  <c r="H55" i="1"/>
  <c r="I45" i="1"/>
  <c r="I59" i="1"/>
  <c r="I50" i="1"/>
  <c r="H26" i="1"/>
  <c r="H77" i="1"/>
  <c r="H46" i="1"/>
  <c r="H71" i="1"/>
  <c r="H82" i="1"/>
  <c r="H36" i="1"/>
  <c r="H41" i="1"/>
  <c r="I57" i="1"/>
  <c r="I82" i="1"/>
  <c r="H19" i="1"/>
  <c r="H4" i="1"/>
  <c r="H25" i="1"/>
  <c r="H32" i="1"/>
  <c r="H23" i="1"/>
  <c r="H73" i="1"/>
  <c r="H9" i="1"/>
  <c r="H75" i="1"/>
  <c r="H54" i="1"/>
  <c r="H72" i="1"/>
  <c r="I34" i="1"/>
  <c r="H49" i="1"/>
  <c r="H27" i="1"/>
  <c r="H18" i="1"/>
  <c r="H31" i="1"/>
  <c r="H5" i="1"/>
  <c r="H62" i="1"/>
  <c r="I70" i="1"/>
  <c r="I61" i="1"/>
  <c r="H87" i="1"/>
  <c r="I28" i="1"/>
  <c r="H88" i="1"/>
  <c r="I58" i="1"/>
  <c r="H60" i="1"/>
  <c r="H57" i="1"/>
  <c r="I73" i="1"/>
  <c r="H83" i="1"/>
  <c r="H35" i="1"/>
  <c r="H20" i="1"/>
  <c r="H13" i="1"/>
  <c r="H33" i="1"/>
  <c r="H24" i="1"/>
  <c r="H80" i="1"/>
  <c r="H42" i="1"/>
  <c r="H6" i="1"/>
  <c r="H86" i="1"/>
  <c r="H2" i="1"/>
  <c r="H79" i="1"/>
  <c r="H52" i="1"/>
  <c r="H67" i="1"/>
  <c r="H12" i="1"/>
  <c r="H64" i="1"/>
  <c r="H40" i="1"/>
  <c r="I40" i="1"/>
  <c r="H29" i="1"/>
  <c r="H70" i="1"/>
  <c r="I78" i="1"/>
  <c r="I77" i="1"/>
  <c r="I39" i="1"/>
  <c r="I76" i="1"/>
  <c r="I72" i="1"/>
  <c r="I74" i="1"/>
  <c r="H84" i="1"/>
  <c r="H65" i="1"/>
  <c r="I81" i="1"/>
  <c r="I67" i="1"/>
  <c r="H43" i="1"/>
  <c r="H28" i="1"/>
  <c r="H37" i="1"/>
  <c r="H58" i="1"/>
  <c r="H56" i="1"/>
  <c r="H10" i="1"/>
</calcChain>
</file>

<file path=xl/sharedStrings.xml><?xml version="1.0" encoding="utf-8"?>
<sst xmlns="http://schemas.openxmlformats.org/spreadsheetml/2006/main" count="733" uniqueCount="280">
  <si>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</si>
  <si>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</si>
  <si>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</si>
  <si>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</si>
  <si>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</si>
  <si>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</si>
  <si>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</si>
  <si>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</si>
  <si>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</si>
  <si>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</si>
  <si>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</si>
  <si>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</si>
  <si>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</si>
  <si>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</si>
  <si>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</si>
  <si>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</si>
  <si>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</si>
  <si>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</si>
  <si>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</si>
  <si>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</si>
  <si>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</si>
  <si>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</si>
  <si>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</si>
  <si>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</si>
  <si>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</si>
  <si>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</si>
  <si>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</si>
  <si>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</si>
  <si>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</si>
  <si>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</si>
  <si>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</si>
  <si>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</si>
  <si>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</si>
  <si>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</si>
  <si>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</si>
  <si>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</si>
  <si>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</si>
  <si>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</si>
  <si>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</si>
  <si>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</si>
  <si>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</si>
  <si>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</si>
  <si>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</si>
  <si>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</si>
  <si>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</si>
  <si>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</si>
  <si>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</si>
  <si>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</si>
  <si>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</si>
  <si>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</si>
  <si>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</si>
  <si>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</si>
  <si>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</si>
  <si>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</si>
  <si>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</si>
  <si>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</si>
  <si>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</si>
  <si>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</si>
  <si>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</si>
  <si>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</si>
  <si>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</si>
  <si>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</si>
  <si>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</si>
  <si>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</si>
  <si>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</si>
  <si>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</si>
  <si>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</si>
  <si>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</si>
  <si>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</si>
  <si>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</si>
  <si>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</si>
  <si>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</si>
  <si>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</si>
  <si>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</si>
  <si>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</si>
  <si>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</si>
  <si>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</si>
  <si>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</si>
  <si>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</si>
  <si>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</si>
  <si>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</si>
  <si>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</si>
  <si>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</si>
  <si>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</si>
  <si>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</si>
  <si>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</si>
  <si>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</si>
  <si>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</si>
  <si>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</si>
  <si>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</si>
  <si>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</si>
  <si>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</si>
  <si>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</si>
  <si>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</si>
  <si>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</si>
  <si>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</si>
  <si>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</si>
  <si>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</si>
  <si>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</si>
  <si>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</si>
  <si>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</si>
  <si>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</si>
  <si>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</si>
  <si>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</si>
  <si>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</si>
  <si>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</si>
  <si>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</si>
  <si>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</si>
  <si>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</si>
  <si>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</si>
  <si>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</si>
  <si>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</si>
  <si>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</si>
  <si>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</si>
  <si>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</si>
  <si>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</si>
  <si>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</si>
  <si>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</si>
  <si>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</si>
  <si>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</si>
  <si>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</si>
  <si>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</si>
  <si>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</si>
  <si>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</si>
  <si>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</si>
  <si>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</si>
  <si>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</si>
  <si>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</si>
  <si>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</si>
  <si>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</si>
  <si>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</si>
  <si>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</si>
  <si>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</si>
  <si>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</si>
  <si>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</si>
  <si>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</si>
  <si>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</si>
  <si>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</si>
  <si>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</si>
  <si>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</si>
  <si>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</si>
  <si>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</si>
  <si>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</si>
  <si>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</si>
  <si>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</si>
  <si>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</si>
  <si>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</si>
  <si>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</si>
  <si>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</si>
  <si>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</si>
  <si>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</si>
  <si>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</si>
  <si>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</si>
  <si>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</si>
  <si>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</si>
  <si>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</si>
  <si>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</si>
  <si>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</si>
  <si>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</si>
  <si>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</si>
  <si>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</si>
  <si>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</si>
  <si>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</si>
  <si>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</si>
  <si>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</si>
  <si>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</si>
  <si>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</si>
  <si>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</si>
  <si>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</si>
  <si>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</si>
  <si>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</si>
  <si>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</si>
  <si>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</si>
  <si>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</si>
  <si>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</si>
  <si>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</si>
  <si>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</si>
  <si>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</si>
  <si>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</si>
  <si>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</si>
  <si>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</si>
  <si>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</si>
  <si>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</si>
  <si>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</si>
  <si>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</si>
  <si>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</si>
  <si>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</si>
  <si>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</si>
  <si>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</si>
  <si>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</si>
  <si>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</si>
  <si>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</si>
  <si>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</si>
  <si>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</si>
  <si>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</si>
  <si>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</si>
  <si>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</si>
  <si>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</si>
  <si>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</si>
  <si>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</si>
  <si>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</si>
  <si>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</si>
  <si>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</si>
  <si>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</si>
  <si>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</si>
  <si>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</si>
  <si>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</si>
  <si>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</si>
  <si>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</si>
  <si>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</si>
  <si>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</si>
  <si>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</si>
  <si>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</si>
  <si>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</si>
  <si>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</si>
  <si>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</si>
  <si>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</si>
  <si>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</si>
  <si>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</si>
  <si>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</si>
  <si>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</si>
  <si>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</si>
  <si>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</si>
  <si>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</si>
  <si>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</si>
  <si>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</si>
  <si>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</si>
  <si>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</si>
  <si>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</si>
  <si>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</si>
  <si>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</si>
  <si>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</si>
  <si>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</si>
  <si>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</si>
  <si>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</si>
  <si>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</si>
  <si>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</si>
  <si>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</si>
  <si>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</si>
  <si>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</si>
  <si>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</si>
  <si>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</si>
  <si>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</si>
  <si>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</si>
  <si>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</si>
  <si>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</si>
  <si>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</si>
  <si>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</si>
  <si>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</si>
  <si>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</si>
  <si>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</si>
  <si>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</si>
  <si>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</si>
  <si>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</si>
  <si>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</si>
  <si>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</si>
  <si>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</si>
  <si>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</si>
  <si>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</si>
  <si>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</si>
  <si>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</si>
  <si>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</si>
  <si>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</si>
  <si>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</si>
  <si>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height_m</t>
  </si>
  <si>
    <t>bmi</t>
  </si>
  <si>
    <t>bmi_DV</t>
  </si>
  <si>
    <t>bmi_rank</t>
  </si>
  <si>
    <t>Q1</t>
  </si>
  <si>
    <t>Q2</t>
  </si>
  <si>
    <t>Q3</t>
  </si>
  <si>
    <t>birthdate</t>
  </si>
  <si>
    <t>age in days</t>
  </si>
  <si>
    <t>first_movie</t>
  </si>
  <si>
    <t>age_number_check</t>
  </si>
  <si>
    <t>height_inches</t>
  </si>
  <si>
    <t>floor(convert(B2,"cm","in"),0.5)</t>
  </si>
  <si>
    <t>isnumber($L2)</t>
  </si>
  <si>
    <t>weight</t>
  </si>
  <si>
    <t>ROUND(CONVERT(E2,"kg","lbm")/0.25,0)*0.25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</si>
</sst>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0"/>
      <color theme="1"/>
      <name val="Calibri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14" fontId="0" fillId="0" borderId="0" xfId="0" applyNumberFormat="1"/>
    <xf numFmtId="14" fontId="21" fillId="0" borderId="0" xfId="0" applyNumberFormat="1" applyFont="1"/>
    <xf numFmtId="0" fontId="0" fillId="33" borderId="0" xfId="0" applyFill="1"/>
    <xf numFmtId="0" fontId="20" fillId="0" borderId="0" xfId="0" applyFont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tabSelected="1" workbookViewId="0">
      <selection activeCell="F2" sqref="F2"/>
    </sheetView>
  </sheetViews>
  <sheetFormatPr defaultColWidth="11" defaultRowHeight="15.6" x14ac:dyDescent="0.6"/>
  <cols>
    <col min="1" max="1" width="18.34765625" bestFit="1" customWidth="1"/>
    <col min="2" max="2" width="11.09765625" customWidth="1"/>
    <col min="3" max="3" width="11.09765625" style="5" customWidth="1"/>
    <col min="4" max="4" width="11.09765625" customWidth="1"/>
    <col min="5" max="6" width="9.25" customWidth="1"/>
    <col min="7" max="7" width="9.34765625" customWidth="1"/>
    <col min="8" max="9" width="9.25" customWidth="1"/>
    <col min="14" max="14" width="11" style="5"/>
    <col min="18" max="18" width="12.5" bestFit="1" customWidth="1"/>
    <col min="19" max="19" width="26.75" customWidth="1"/>
  </cols>
  <sheetData>
    <row r="1" spans="1:20" x14ac:dyDescent="0.6">
      <c r="A1" t="s">
        <v>0</v>
      </c>
      <c r="B1" t="s">
        <v>1</v>
      </c>
      <c r="C1" s="5" t="s">
        <v>275</v>
      </c>
      <c r="D1" t="s">
        <v>264</v>
      </c>
      <c r="E1" t="s">
        <v>2</v>
      </c>
      <c r="F1" t="s">
        <v>278</v>
      </c>
      <c r="G1" t="s">
        <v>265</v>
      </c>
      <c r="H1" t="s">
        <v>267</v>
      </c>
      <c r="I1" t="s">
        <v>266</v>
      </c>
      <c r="J1" t="s">
        <v>3</v>
      </c>
      <c r="K1" t="s">
        <v>4</v>
      </c>
      <c r="L1" t="s">
        <v>5</v>
      </c>
      <c r="M1" t="s">
        <v>6</v>
      </c>
      <c r="N1" s="5" t="s">
        <v>274</v>
      </c>
      <c r="O1" t="s">
        <v>272</v>
      </c>
      <c r="P1" t="s">
        <v>271</v>
      </c>
      <c r="Q1" t="s">
        <v>7</v>
      </c>
      <c r="R1" t="s">
        <v>8</v>
      </c>
      <c r="S1" t="s">
        <v>9</v>
      </c>
      <c r="T1" t="s">
        <v>273</v>
      </c>
    </row>
    <row r="2" spans="1:20" x14ac:dyDescent="0.6">
      <c r="A2" t="s">
        <v>10</v>
      </c>
      <c r="B2">
        <v>172</v>
      </c>
      <c r="C2" s="5">
        <f>FLOOR(CONVERT(B2,"cm","in"), 0.5)</f>
        <v>67.5</v>
      </c>
      <c r="D2">
        <f>SUM(B2 / 100)</f>
        <v>1.72</v>
      </c>
      <c r="E2">
        <v>77</v>
      </c>
      <c r="F2" s="5">
        <f>ROUND(CONVERT(E2,"kg","lbm")/0.25,0)*0.25</f>
        <v>169.75</v>
      </c>
      <c r="G2">
        <f t="shared" ref="G2:G33" si="0">IF(OR(ISNUMBER(D2)=FALSE, ISNUMBER(E2)=FALSE),0,E2/(D2^2))</f>
        <v>26.027582477014604</v>
      </c>
      <c r="H2">
        <f>RANK(G2,$G$2:$G$88,0 )</f>
        <v>18</v>
      </c>
      <c r="I2">
        <f>SUM(G2-$G$5)</f>
        <v>-7.302483202820703</v>
      </c>
      <c r="J2" t="s">
        <v>11</v>
      </c>
      <c r="K2" t="s">
        <v>12</v>
      </c>
      <c r="L2" t="s">
        <v>13</v>
      </c>
      <c r="M2">
        <v>19</v>
      </c>
      <c r="N2" s="5" t="b">
        <f>ISNUMBER($M2)</f>
        <v>1</v>
      </c>
      <c r="O2">
        <f>SUM($M2*365)</f>
        <v>6935</v>
      </c>
      <c r="P2" s="3">
        <f ca="1">TODAY() - $O2</f>
        <v>39102</v>
      </c>
      <c r="Q2" t="s">
        <v>14</v>
      </c>
      <c r="R2" t="s">
        <v>15</v>
      </c>
      <c r="S2" t="s">
        <v>16</v>
      </c>
      <c r="T2" t="str">
        <f>LEFT(S2,FIND(",", S2 &amp; ",") -1)</f>
        <v xml:space="preserve">Revenge of the Sith </v>
      </c>
    </row>
    <row r="3" spans="1:20" x14ac:dyDescent="0.6">
      <c r="A3" t="s">
        <v>17</v>
      </c>
      <c r="B3">
        <v>167</v>
      </c>
      <c r="C3" s="5">
        <f t="shared" ref="C3:C66" si="1">FLOOR(CONVERT(B3,"cm","in"), 0.5)</f>
        <v>65.5</v>
      </c>
      <c r="D3">
        <f t="shared" ref="D3:D66" si="2">SUM(B3 / 100)</f>
        <v>1.67</v>
      </c>
      <c r="E3">
        <v>75</v>
      </c>
      <c r="F3" s="5">
        <f t="shared" ref="F3:F66" si="3">ROUND(CONVERT(E3,"kg","lbm")/0.25,0)*0.25</f>
        <v>165.25</v>
      </c>
      <c r="G3">
        <f t="shared" si="0"/>
        <v>26.892323138154829</v>
      </c>
      <c r="H3">
        <f t="shared" ref="H3:H66" si="4">RANK(G3,$G$2:$G$88,0 )</f>
        <v>14</v>
      </c>
      <c r="I3">
        <f t="shared" ref="I3:I66" si="5">SUM(G3-$G$5)</f>
        <v>-6.4377425416804783</v>
      </c>
      <c r="J3" t="s">
        <v>18</v>
      </c>
      <c r="K3" t="s">
        <v>19</v>
      </c>
      <c r="L3" t="s">
        <v>20</v>
      </c>
      <c r="M3">
        <v>112</v>
      </c>
      <c r="N3" s="5" t="b">
        <f t="shared" ref="N3:N66" si="6">ISNUMBER($M3)</f>
        <v>1</v>
      </c>
      <c r="O3">
        <f t="shared" ref="O3:O66" si="7">SUM($M3 * 365)</f>
        <v>40880</v>
      </c>
      <c r="P3" s="3">
        <f t="shared" ref="P3:P66" ca="1" si="8">TODAY() - $O3</f>
        <v>5157</v>
      </c>
      <c r="Q3" t="s">
        <v>14</v>
      </c>
      <c r="R3" t="s">
        <v>21</v>
      </c>
      <c r="S3" t="s">
        <v>22</v>
      </c>
      <c r="T3" t="str">
        <f t="shared" ref="T3:T66" si="9">LEFT(S3,FIND(",", S3 &amp; ",") -1)</f>
        <v xml:space="preserve">Attack of the Clones </v>
      </c>
    </row>
    <row r="4" spans="1:20" x14ac:dyDescent="0.6">
      <c r="A4" t="s">
        <v>23</v>
      </c>
      <c r="B4">
        <v>96</v>
      </c>
      <c r="C4" s="5">
        <f t="shared" si="1"/>
        <v>37.5</v>
      </c>
      <c r="D4">
        <f t="shared" si="2"/>
        <v>0.96</v>
      </c>
      <c r="E4">
        <v>32</v>
      </c>
      <c r="F4" s="5">
        <f t="shared" si="3"/>
        <v>70.5</v>
      </c>
      <c r="G4">
        <f t="shared" si="0"/>
        <v>34.722222222222221</v>
      </c>
      <c r="H4">
        <f t="shared" si="4"/>
        <v>6</v>
      </c>
      <c r="I4">
        <f t="shared" si="5"/>
        <v>1.392156542386914</v>
      </c>
      <c r="J4" t="s">
        <v>18</v>
      </c>
      <c r="K4" t="s">
        <v>24</v>
      </c>
      <c r="L4" t="s">
        <v>25</v>
      </c>
      <c r="M4">
        <v>33</v>
      </c>
      <c r="N4" s="5" t="b">
        <f t="shared" si="6"/>
        <v>1</v>
      </c>
      <c r="O4">
        <f t="shared" si="7"/>
        <v>12045</v>
      </c>
      <c r="P4" s="3">
        <f t="shared" ca="1" si="8"/>
        <v>33992</v>
      </c>
      <c r="Q4" t="s">
        <v>26</v>
      </c>
      <c r="R4" t="s">
        <v>21</v>
      </c>
      <c r="S4" t="s">
        <v>27</v>
      </c>
      <c r="T4" t="str">
        <f t="shared" si="9"/>
        <v xml:space="preserve">Attack of the Clones </v>
      </c>
    </row>
    <row r="5" spans="1:20" x14ac:dyDescent="0.6">
      <c r="A5" t="s">
        <v>28</v>
      </c>
      <c r="B5">
        <v>202</v>
      </c>
      <c r="C5" s="5">
        <f t="shared" si="1"/>
        <v>79.5</v>
      </c>
      <c r="D5">
        <f t="shared" si="2"/>
        <v>2.02</v>
      </c>
      <c r="E5">
        <v>136</v>
      </c>
      <c r="F5" s="5">
        <f t="shared" si="3"/>
        <v>299.75</v>
      </c>
      <c r="G5">
        <f t="shared" si="0"/>
        <v>33.330065679835307</v>
      </c>
      <c r="H5">
        <f t="shared" si="4"/>
        <v>10</v>
      </c>
      <c r="I5">
        <f t="shared" si="5"/>
        <v>0</v>
      </c>
      <c r="J5" t="s">
        <v>29</v>
      </c>
      <c r="K5" t="s">
        <v>30</v>
      </c>
      <c r="L5" t="s">
        <v>20</v>
      </c>
      <c r="M5">
        <v>41.9</v>
      </c>
      <c r="N5" s="5" t="b">
        <f t="shared" si="6"/>
        <v>1</v>
      </c>
      <c r="O5">
        <f t="shared" si="7"/>
        <v>15293.5</v>
      </c>
      <c r="P5" s="3">
        <f t="shared" ca="1" si="8"/>
        <v>30743.5</v>
      </c>
      <c r="Q5" t="s">
        <v>14</v>
      </c>
      <c r="R5" t="s">
        <v>15</v>
      </c>
      <c r="S5" t="s">
        <v>31</v>
      </c>
      <c r="T5" t="str">
        <f t="shared" si="9"/>
        <v xml:space="preserve">Revenge of the Sith </v>
      </c>
    </row>
    <row r="6" spans="1:20" x14ac:dyDescent="0.6">
      <c r="A6" t="s">
        <v>32</v>
      </c>
      <c r="B6">
        <v>150</v>
      </c>
      <c r="C6" s="5">
        <f t="shared" si="1"/>
        <v>59</v>
      </c>
      <c r="D6">
        <f t="shared" si="2"/>
        <v>1.5</v>
      </c>
      <c r="E6">
        <v>49</v>
      </c>
      <c r="F6" s="5">
        <f t="shared" si="3"/>
        <v>108</v>
      </c>
      <c r="G6">
        <f t="shared" si="0"/>
        <v>21.777777777777779</v>
      </c>
      <c r="H6">
        <f t="shared" si="4"/>
        <v>43</v>
      </c>
      <c r="I6">
        <f t="shared" si="5"/>
        <v>-11.552287902057529</v>
      </c>
      <c r="J6" t="s">
        <v>33</v>
      </c>
      <c r="K6" t="s">
        <v>34</v>
      </c>
      <c r="L6" t="s">
        <v>33</v>
      </c>
      <c r="M6">
        <v>19</v>
      </c>
      <c r="N6" s="5" t="b">
        <f t="shared" si="6"/>
        <v>1</v>
      </c>
      <c r="O6">
        <f t="shared" si="7"/>
        <v>6935</v>
      </c>
      <c r="P6" s="3">
        <f t="shared" ca="1" si="8"/>
        <v>39102</v>
      </c>
      <c r="Q6" t="s">
        <v>35</v>
      </c>
      <c r="R6" t="s">
        <v>15</v>
      </c>
      <c r="S6" t="s">
        <v>36</v>
      </c>
      <c r="T6" t="str">
        <f t="shared" si="9"/>
        <v xml:space="preserve">Revenge of the Sith </v>
      </c>
    </row>
    <row r="7" spans="1:20" x14ac:dyDescent="0.6">
      <c r="A7" t="s">
        <v>37</v>
      </c>
      <c r="B7">
        <v>178</v>
      </c>
      <c r="C7" s="5">
        <f t="shared" si="1"/>
        <v>70</v>
      </c>
      <c r="D7">
        <f t="shared" si="2"/>
        <v>1.78</v>
      </c>
      <c r="E7">
        <v>120</v>
      </c>
      <c r="F7" s="5">
        <f t="shared" si="3"/>
        <v>264.5</v>
      </c>
      <c r="G7">
        <f t="shared" si="0"/>
        <v>37.874005807347558</v>
      </c>
      <c r="H7">
        <f t="shared" si="4"/>
        <v>4</v>
      </c>
      <c r="I7">
        <f t="shared" si="5"/>
        <v>4.5439401275122506</v>
      </c>
      <c r="J7" t="s">
        <v>38</v>
      </c>
      <c r="K7" t="s">
        <v>34</v>
      </c>
      <c r="L7" t="s">
        <v>13</v>
      </c>
      <c r="M7">
        <v>52</v>
      </c>
      <c r="N7" s="5" t="b">
        <f t="shared" si="6"/>
        <v>1</v>
      </c>
      <c r="O7">
        <f t="shared" si="7"/>
        <v>18980</v>
      </c>
      <c r="P7" s="3">
        <f t="shared" ca="1" si="8"/>
        <v>27057</v>
      </c>
      <c r="Q7" t="s">
        <v>14</v>
      </c>
      <c r="R7" t="s">
        <v>15</v>
      </c>
      <c r="S7" t="s">
        <v>39</v>
      </c>
      <c r="T7" t="str">
        <f t="shared" si="9"/>
        <v xml:space="preserve">Attack of the Clones </v>
      </c>
    </row>
    <row r="8" spans="1:20" x14ac:dyDescent="0.6">
      <c r="A8" t="s">
        <v>40</v>
      </c>
      <c r="B8">
        <v>165</v>
      </c>
      <c r="C8" s="5">
        <f t="shared" si="1"/>
        <v>64.5</v>
      </c>
      <c r="D8">
        <f t="shared" si="2"/>
        <v>1.65</v>
      </c>
      <c r="E8">
        <v>75</v>
      </c>
      <c r="F8" s="5">
        <f t="shared" si="3"/>
        <v>165.25</v>
      </c>
      <c r="G8">
        <f t="shared" si="0"/>
        <v>27.548209366391188</v>
      </c>
      <c r="H8">
        <f t="shared" si="4"/>
        <v>13</v>
      </c>
      <c r="I8">
        <f t="shared" si="5"/>
        <v>-5.7818563134441199</v>
      </c>
      <c r="J8" t="s">
        <v>33</v>
      </c>
      <c r="K8" t="s">
        <v>34</v>
      </c>
      <c r="L8" t="s">
        <v>13</v>
      </c>
      <c r="M8">
        <v>47</v>
      </c>
      <c r="N8" s="5" t="b">
        <f t="shared" si="6"/>
        <v>1</v>
      </c>
      <c r="O8">
        <f t="shared" si="7"/>
        <v>17155</v>
      </c>
      <c r="P8" s="3">
        <f t="shared" ca="1" si="8"/>
        <v>28882</v>
      </c>
      <c r="Q8" t="s">
        <v>14</v>
      </c>
      <c r="R8" t="s">
        <v>15</v>
      </c>
      <c r="S8" t="s">
        <v>39</v>
      </c>
      <c r="T8" t="str">
        <f t="shared" si="9"/>
        <v xml:space="preserve">Attack of the Clones </v>
      </c>
    </row>
    <row r="9" spans="1:20" x14ac:dyDescent="0.6">
      <c r="A9" t="s">
        <v>41</v>
      </c>
      <c r="B9">
        <v>97</v>
      </c>
      <c r="C9" s="5">
        <f t="shared" si="1"/>
        <v>38</v>
      </c>
      <c r="D9">
        <f t="shared" si="2"/>
        <v>0.97</v>
      </c>
      <c r="E9">
        <v>32</v>
      </c>
      <c r="F9" s="5">
        <f t="shared" si="3"/>
        <v>70.5</v>
      </c>
      <c r="G9">
        <f t="shared" si="0"/>
        <v>34.009990434690195</v>
      </c>
      <c r="H9">
        <f t="shared" si="4"/>
        <v>8</v>
      </c>
      <c r="I9">
        <f t="shared" si="5"/>
        <v>0.67992475485488768</v>
      </c>
      <c r="J9" t="s">
        <v>18</v>
      </c>
      <c r="K9" t="s">
        <v>42</v>
      </c>
      <c r="L9" t="s">
        <v>25</v>
      </c>
      <c r="M9" t="s">
        <v>18</v>
      </c>
      <c r="N9" s="5" t="b">
        <f t="shared" si="6"/>
        <v>0</v>
      </c>
      <c r="O9" t="e">
        <f t="shared" si="7"/>
        <v>#VALUE!</v>
      </c>
      <c r="P9" s="3" t="e">
        <f t="shared" ca="1" si="8"/>
        <v>#VALUE!</v>
      </c>
      <c r="Q9" t="s">
        <v>14</v>
      </c>
      <c r="R9" t="s">
        <v>21</v>
      </c>
      <c r="S9" t="s">
        <v>43</v>
      </c>
      <c r="T9" t="str">
        <f t="shared" si="9"/>
        <v>A New Hope</v>
      </c>
    </row>
    <row r="10" spans="1:20" x14ac:dyDescent="0.6">
      <c r="A10" t="s">
        <v>44</v>
      </c>
      <c r="B10">
        <v>183</v>
      </c>
      <c r="C10" s="5">
        <f t="shared" si="1"/>
        <v>72</v>
      </c>
      <c r="D10">
        <f t="shared" si="2"/>
        <v>1.83</v>
      </c>
      <c r="E10">
        <v>84</v>
      </c>
      <c r="F10" s="5">
        <f t="shared" si="3"/>
        <v>185.25</v>
      </c>
      <c r="G10">
        <f t="shared" si="0"/>
        <v>25.082863029651524</v>
      </c>
      <c r="H10">
        <f t="shared" si="4"/>
        <v>25</v>
      </c>
      <c r="I10">
        <f t="shared" si="5"/>
        <v>-8.2472026501837838</v>
      </c>
      <c r="J10" t="s">
        <v>45</v>
      </c>
      <c r="K10" t="s">
        <v>34</v>
      </c>
      <c r="L10" t="s">
        <v>33</v>
      </c>
      <c r="M10">
        <v>24</v>
      </c>
      <c r="N10" s="5" t="b">
        <f t="shared" si="6"/>
        <v>1</v>
      </c>
      <c r="O10">
        <f t="shared" si="7"/>
        <v>8760</v>
      </c>
      <c r="P10" s="3">
        <f t="shared" ca="1" si="8"/>
        <v>37277</v>
      </c>
      <c r="Q10" t="s">
        <v>14</v>
      </c>
      <c r="R10" t="s">
        <v>15</v>
      </c>
      <c r="S10" t="s">
        <v>43</v>
      </c>
      <c r="T10" t="str">
        <f t="shared" si="9"/>
        <v>A New Hope</v>
      </c>
    </row>
    <row r="11" spans="1:20" x14ac:dyDescent="0.6">
      <c r="A11" t="s">
        <v>46</v>
      </c>
      <c r="B11">
        <v>182</v>
      </c>
      <c r="C11" s="5">
        <f t="shared" si="1"/>
        <v>71.5</v>
      </c>
      <c r="D11">
        <f t="shared" si="2"/>
        <v>1.82</v>
      </c>
      <c r="E11">
        <v>77</v>
      </c>
      <c r="F11" s="5">
        <f t="shared" si="3"/>
        <v>169.75</v>
      </c>
      <c r="G11">
        <f t="shared" si="0"/>
        <v>23.245984784446321</v>
      </c>
      <c r="H11">
        <f t="shared" si="4"/>
        <v>39</v>
      </c>
      <c r="I11">
        <f t="shared" si="5"/>
        <v>-10.084080895388986</v>
      </c>
      <c r="J11" t="s">
        <v>47</v>
      </c>
      <c r="K11" t="s">
        <v>12</v>
      </c>
      <c r="L11" t="s">
        <v>48</v>
      </c>
      <c r="M11">
        <v>57</v>
      </c>
      <c r="N11" s="5" t="b">
        <f t="shared" si="6"/>
        <v>1</v>
      </c>
      <c r="O11">
        <f t="shared" si="7"/>
        <v>20805</v>
      </c>
      <c r="P11" s="3">
        <f t="shared" ca="1" si="8"/>
        <v>25232</v>
      </c>
      <c r="Q11" t="s">
        <v>49</v>
      </c>
      <c r="R11" t="s">
        <v>15</v>
      </c>
      <c r="S11" t="s">
        <v>22</v>
      </c>
      <c r="T11" t="str">
        <f t="shared" si="9"/>
        <v xml:space="preserve">Attack of the Clones </v>
      </c>
    </row>
    <row r="12" spans="1:20" x14ac:dyDescent="0.6">
      <c r="A12" t="s">
        <v>50</v>
      </c>
      <c r="B12">
        <v>188</v>
      </c>
      <c r="C12" s="5">
        <f t="shared" si="1"/>
        <v>74</v>
      </c>
      <c r="D12">
        <f t="shared" si="2"/>
        <v>1.88</v>
      </c>
      <c r="E12">
        <v>84</v>
      </c>
      <c r="F12" s="5">
        <f t="shared" si="3"/>
        <v>185.25</v>
      </c>
      <c r="G12">
        <f t="shared" si="0"/>
        <v>23.766410140334994</v>
      </c>
      <c r="H12">
        <f t="shared" si="4"/>
        <v>35</v>
      </c>
      <c r="I12">
        <f t="shared" si="5"/>
        <v>-9.5636555395003136</v>
      </c>
      <c r="J12" t="s">
        <v>11</v>
      </c>
      <c r="K12" t="s">
        <v>12</v>
      </c>
      <c r="L12" t="s">
        <v>13</v>
      </c>
      <c r="M12">
        <v>41.9</v>
      </c>
      <c r="N12" s="5" t="b">
        <f t="shared" si="6"/>
        <v>1</v>
      </c>
      <c r="O12">
        <f t="shared" si="7"/>
        <v>15293.5</v>
      </c>
      <c r="P12" s="3">
        <f t="shared" ca="1" si="8"/>
        <v>30743.5</v>
      </c>
      <c r="Q12" t="s">
        <v>14</v>
      </c>
      <c r="R12" t="s">
        <v>15</v>
      </c>
      <c r="S12" t="s">
        <v>51</v>
      </c>
      <c r="T12" t="str">
        <f t="shared" si="9"/>
        <v xml:space="preserve">Attack of the Clones </v>
      </c>
    </row>
    <row r="13" spans="1:20" x14ac:dyDescent="0.6">
      <c r="A13" t="s">
        <v>52</v>
      </c>
      <c r="B13">
        <v>180</v>
      </c>
      <c r="C13" s="5">
        <f t="shared" si="1"/>
        <v>70.5</v>
      </c>
      <c r="D13">
        <f t="shared" si="2"/>
        <v>1.8</v>
      </c>
      <c r="E13" t="s">
        <v>18</v>
      </c>
      <c r="F13" s="5" t="e">
        <f t="shared" si="3"/>
        <v>#VALUE!</v>
      </c>
      <c r="G13">
        <f t="shared" si="0"/>
        <v>0</v>
      </c>
      <c r="H13">
        <f t="shared" si="4"/>
        <v>60</v>
      </c>
      <c r="I13">
        <f t="shared" si="5"/>
        <v>-33.330065679835307</v>
      </c>
      <c r="J13" t="s">
        <v>53</v>
      </c>
      <c r="K13" t="s">
        <v>12</v>
      </c>
      <c r="L13" t="s">
        <v>13</v>
      </c>
      <c r="M13">
        <v>64</v>
      </c>
      <c r="N13" s="5" t="b">
        <f t="shared" si="6"/>
        <v>1</v>
      </c>
      <c r="O13">
        <f t="shared" si="7"/>
        <v>23360</v>
      </c>
      <c r="P13" s="3">
        <f t="shared" ca="1" si="8"/>
        <v>22677</v>
      </c>
      <c r="Q13" t="s">
        <v>54</v>
      </c>
      <c r="R13" t="s">
        <v>15</v>
      </c>
      <c r="S13" t="s">
        <v>55</v>
      </c>
      <c r="T13" t="str">
        <f t="shared" si="9"/>
        <v xml:space="preserve">Revenge of the Sith </v>
      </c>
    </row>
    <row r="14" spans="1:20" x14ac:dyDescent="0.6">
      <c r="A14" t="s">
        <v>56</v>
      </c>
      <c r="B14">
        <v>228</v>
      </c>
      <c r="C14" s="5">
        <f t="shared" si="1"/>
        <v>89.5</v>
      </c>
      <c r="D14">
        <f t="shared" si="2"/>
        <v>2.2799999999999998</v>
      </c>
      <c r="E14">
        <v>112</v>
      </c>
      <c r="F14" s="5">
        <f t="shared" si="3"/>
        <v>247</v>
      </c>
      <c r="G14">
        <f t="shared" si="0"/>
        <v>21.545090797168363</v>
      </c>
      <c r="H14">
        <f t="shared" si="4"/>
        <v>44</v>
      </c>
      <c r="I14">
        <f t="shared" si="5"/>
        <v>-11.784974882666944</v>
      </c>
      <c r="J14" t="s">
        <v>33</v>
      </c>
      <c r="K14" t="s">
        <v>57</v>
      </c>
      <c r="L14" t="s">
        <v>13</v>
      </c>
      <c r="M14">
        <v>200</v>
      </c>
      <c r="N14" s="5" t="b">
        <f t="shared" si="6"/>
        <v>1</v>
      </c>
      <c r="O14">
        <f t="shared" si="7"/>
        <v>73000</v>
      </c>
      <c r="P14" s="3">
        <f t="shared" ca="1" si="8"/>
        <v>-26963</v>
      </c>
      <c r="Q14" t="s">
        <v>58</v>
      </c>
      <c r="R14" t="s">
        <v>59</v>
      </c>
      <c r="S14" t="s">
        <v>36</v>
      </c>
      <c r="T14" t="str">
        <f t="shared" si="9"/>
        <v xml:space="preserve">Revenge of the Sith </v>
      </c>
    </row>
    <row r="15" spans="1:20" x14ac:dyDescent="0.6">
      <c r="A15" t="s">
        <v>60</v>
      </c>
      <c r="B15">
        <v>180</v>
      </c>
      <c r="C15" s="5">
        <f t="shared" si="1"/>
        <v>70.5</v>
      </c>
      <c r="D15">
        <f t="shared" si="2"/>
        <v>1.8</v>
      </c>
      <c r="E15">
        <v>80</v>
      </c>
      <c r="F15" s="5">
        <f t="shared" si="3"/>
        <v>176.25</v>
      </c>
      <c r="G15">
        <f t="shared" si="0"/>
        <v>24.691358024691358</v>
      </c>
      <c r="H15">
        <f t="shared" si="4"/>
        <v>29</v>
      </c>
      <c r="I15">
        <f t="shared" si="5"/>
        <v>-8.6387076551439499</v>
      </c>
      <c r="J15" t="s">
        <v>33</v>
      </c>
      <c r="K15" t="s">
        <v>12</v>
      </c>
      <c r="L15" t="s">
        <v>33</v>
      </c>
      <c r="M15">
        <v>29</v>
      </c>
      <c r="N15" s="5" t="b">
        <f t="shared" si="6"/>
        <v>1</v>
      </c>
      <c r="O15">
        <f t="shared" si="7"/>
        <v>10585</v>
      </c>
      <c r="P15" s="3">
        <f t="shared" ca="1" si="8"/>
        <v>35452</v>
      </c>
      <c r="Q15" t="s">
        <v>61</v>
      </c>
      <c r="R15" t="s">
        <v>15</v>
      </c>
      <c r="S15" t="s">
        <v>62</v>
      </c>
      <c r="T15" t="str">
        <f t="shared" si="9"/>
        <v xml:space="preserve">Return of the Jedi </v>
      </c>
    </row>
    <row r="16" spans="1:20" x14ac:dyDescent="0.6">
      <c r="A16" t="s">
        <v>63</v>
      </c>
      <c r="B16">
        <v>173</v>
      </c>
      <c r="C16" s="5">
        <f t="shared" si="1"/>
        <v>68</v>
      </c>
      <c r="D16">
        <f t="shared" si="2"/>
        <v>1.73</v>
      </c>
      <c r="E16">
        <v>74</v>
      </c>
      <c r="F16" s="5">
        <f t="shared" si="3"/>
        <v>163.25</v>
      </c>
      <c r="G16">
        <f t="shared" si="0"/>
        <v>24.725182932941294</v>
      </c>
      <c r="H16">
        <f t="shared" si="4"/>
        <v>28</v>
      </c>
      <c r="I16">
        <f t="shared" si="5"/>
        <v>-8.6048827468940132</v>
      </c>
      <c r="J16" t="s">
        <v>18</v>
      </c>
      <c r="K16" t="s">
        <v>64</v>
      </c>
      <c r="L16" t="s">
        <v>45</v>
      </c>
      <c r="M16">
        <v>44</v>
      </c>
      <c r="N16" s="5" t="b">
        <f t="shared" si="6"/>
        <v>1</v>
      </c>
      <c r="O16">
        <f t="shared" si="7"/>
        <v>16060</v>
      </c>
      <c r="P16" s="3">
        <f t="shared" ca="1" si="8"/>
        <v>29977</v>
      </c>
      <c r="Q16" t="s">
        <v>65</v>
      </c>
      <c r="R16" t="s">
        <v>66</v>
      </c>
      <c r="S16" t="s">
        <v>43</v>
      </c>
      <c r="T16" t="str">
        <f t="shared" si="9"/>
        <v>A New Hope</v>
      </c>
    </row>
    <row r="17" spans="1:20" x14ac:dyDescent="0.6">
      <c r="A17" t="s">
        <v>67</v>
      </c>
      <c r="B17">
        <v>175</v>
      </c>
      <c r="C17" s="5">
        <f t="shared" si="1"/>
        <v>68.5</v>
      </c>
      <c r="D17">
        <f t="shared" si="2"/>
        <v>1.75</v>
      </c>
      <c r="E17">
        <v>1358</v>
      </c>
      <c r="F17" s="7">
        <f t="shared" si="3"/>
        <v>2994</v>
      </c>
      <c r="G17">
        <f t="shared" si="0"/>
        <v>443.42857142857144</v>
      </c>
      <c r="H17">
        <f t="shared" si="4"/>
        <v>1</v>
      </c>
      <c r="I17">
        <f t="shared" si="5"/>
        <v>410.09850574873616</v>
      </c>
      <c r="J17" t="s">
        <v>18</v>
      </c>
      <c r="K17" t="s">
        <v>68</v>
      </c>
      <c r="L17" t="s">
        <v>69</v>
      </c>
      <c r="M17">
        <v>600</v>
      </c>
      <c r="N17" s="5" t="b">
        <f t="shared" si="6"/>
        <v>1</v>
      </c>
      <c r="O17">
        <f t="shared" si="7"/>
        <v>219000</v>
      </c>
      <c r="P17" s="3">
        <f t="shared" ca="1" si="8"/>
        <v>-172963</v>
      </c>
      <c r="Q17" t="s">
        <v>70</v>
      </c>
      <c r="R17" t="s">
        <v>71</v>
      </c>
      <c r="S17" t="s">
        <v>72</v>
      </c>
      <c r="T17" t="str">
        <f t="shared" si="9"/>
        <v xml:space="preserve">The Phantom Menace </v>
      </c>
    </row>
    <row r="18" spans="1:20" x14ac:dyDescent="0.6">
      <c r="A18" t="s">
        <v>73</v>
      </c>
      <c r="B18">
        <v>170</v>
      </c>
      <c r="C18" s="5">
        <f t="shared" si="1"/>
        <v>66.5</v>
      </c>
      <c r="D18">
        <f t="shared" si="2"/>
        <v>1.7</v>
      </c>
      <c r="E18">
        <v>77</v>
      </c>
      <c r="F18" s="5">
        <f t="shared" si="3"/>
        <v>169.75</v>
      </c>
      <c r="G18">
        <f t="shared" si="0"/>
        <v>26.643598615916957</v>
      </c>
      <c r="H18">
        <f t="shared" si="4"/>
        <v>15</v>
      </c>
      <c r="I18">
        <f t="shared" si="5"/>
        <v>-6.6864670639183501</v>
      </c>
      <c r="J18" t="s">
        <v>33</v>
      </c>
      <c r="K18" t="s">
        <v>12</v>
      </c>
      <c r="L18" t="s">
        <v>74</v>
      </c>
      <c r="M18">
        <v>21</v>
      </c>
      <c r="N18" s="5" t="b">
        <f t="shared" si="6"/>
        <v>1</v>
      </c>
      <c r="O18">
        <f t="shared" si="7"/>
        <v>7665</v>
      </c>
      <c r="P18" s="3">
        <f t="shared" ca="1" si="8"/>
        <v>38372</v>
      </c>
      <c r="Q18" t="s">
        <v>61</v>
      </c>
      <c r="R18" t="s">
        <v>15</v>
      </c>
      <c r="S18" t="s">
        <v>75</v>
      </c>
      <c r="T18" t="str">
        <f t="shared" si="9"/>
        <v xml:space="preserve">Return of the Jedi </v>
      </c>
    </row>
    <row r="19" spans="1:20" x14ac:dyDescent="0.6">
      <c r="A19" t="s">
        <v>76</v>
      </c>
      <c r="B19">
        <v>180</v>
      </c>
      <c r="C19" s="5">
        <f t="shared" si="1"/>
        <v>70.5</v>
      </c>
      <c r="D19">
        <f t="shared" si="2"/>
        <v>1.8</v>
      </c>
      <c r="E19">
        <v>110</v>
      </c>
      <c r="F19" s="5">
        <f t="shared" si="3"/>
        <v>242.5</v>
      </c>
      <c r="G19">
        <f t="shared" si="0"/>
        <v>33.950617283950614</v>
      </c>
      <c r="H19">
        <f t="shared" si="4"/>
        <v>9</v>
      </c>
      <c r="I19">
        <f t="shared" si="5"/>
        <v>0.62055160411530608</v>
      </c>
      <c r="J19" t="s">
        <v>33</v>
      </c>
      <c r="K19" t="s">
        <v>12</v>
      </c>
      <c r="L19" t="s">
        <v>13</v>
      </c>
      <c r="M19" t="s">
        <v>18</v>
      </c>
      <c r="N19" s="5" t="b">
        <f t="shared" si="6"/>
        <v>0</v>
      </c>
      <c r="O19" t="e">
        <f t="shared" si="7"/>
        <v>#VALUE!</v>
      </c>
      <c r="P19" s="3" t="e">
        <f t="shared" ca="1" si="8"/>
        <v>#VALUE!</v>
      </c>
      <c r="Q19" t="s">
        <v>77</v>
      </c>
      <c r="R19" t="s">
        <v>15</v>
      </c>
      <c r="S19" t="s">
        <v>43</v>
      </c>
      <c r="T19" t="str">
        <f t="shared" si="9"/>
        <v>A New Hope</v>
      </c>
    </row>
    <row r="20" spans="1:20" x14ac:dyDescent="0.6">
      <c r="A20" t="s">
        <v>78</v>
      </c>
      <c r="B20">
        <v>66</v>
      </c>
      <c r="C20" s="5">
        <f t="shared" si="1"/>
        <v>25.5</v>
      </c>
      <c r="D20">
        <f t="shared" si="2"/>
        <v>0.66</v>
      </c>
      <c r="E20">
        <v>17</v>
      </c>
      <c r="F20" s="5">
        <f t="shared" si="3"/>
        <v>37.5</v>
      </c>
      <c r="G20">
        <f t="shared" si="0"/>
        <v>39.026629935720841</v>
      </c>
      <c r="H20">
        <f t="shared" si="4"/>
        <v>3</v>
      </c>
      <c r="I20">
        <f t="shared" si="5"/>
        <v>5.6965642558855336</v>
      </c>
      <c r="J20" t="s">
        <v>30</v>
      </c>
      <c r="K20" t="s">
        <v>64</v>
      </c>
      <c r="L20" t="s">
        <v>33</v>
      </c>
      <c r="M20">
        <v>896</v>
      </c>
      <c r="N20" s="5" t="b">
        <f t="shared" si="6"/>
        <v>1</v>
      </c>
      <c r="O20">
        <f t="shared" si="7"/>
        <v>327040</v>
      </c>
      <c r="P20" s="3">
        <f t="shared" ca="1" si="8"/>
        <v>-281003</v>
      </c>
      <c r="Q20" t="s">
        <v>18</v>
      </c>
      <c r="R20" t="s">
        <v>79</v>
      </c>
      <c r="S20" t="s">
        <v>80</v>
      </c>
      <c r="T20" t="str">
        <f t="shared" si="9"/>
        <v xml:space="preserve">Attack of the Clones </v>
      </c>
    </row>
    <row r="21" spans="1:20" x14ac:dyDescent="0.6">
      <c r="A21" t="s">
        <v>81</v>
      </c>
      <c r="B21">
        <v>170</v>
      </c>
      <c r="C21" s="5">
        <f t="shared" si="1"/>
        <v>66.5</v>
      </c>
      <c r="D21">
        <f t="shared" si="2"/>
        <v>1.7</v>
      </c>
      <c r="E21">
        <v>75</v>
      </c>
      <c r="F21" s="5">
        <f t="shared" si="3"/>
        <v>165.25</v>
      </c>
      <c r="G21">
        <f t="shared" si="0"/>
        <v>25.95155709342561</v>
      </c>
      <c r="H21">
        <f t="shared" si="4"/>
        <v>20</v>
      </c>
      <c r="I21">
        <f t="shared" si="5"/>
        <v>-7.3785085864096978</v>
      </c>
      <c r="J21" t="s">
        <v>82</v>
      </c>
      <c r="K21" t="s">
        <v>83</v>
      </c>
      <c r="L21" t="s">
        <v>20</v>
      </c>
      <c r="M21">
        <v>82</v>
      </c>
      <c r="N21" s="5" t="b">
        <f t="shared" si="6"/>
        <v>1</v>
      </c>
      <c r="O21">
        <f t="shared" si="7"/>
        <v>29930</v>
      </c>
      <c r="P21" s="3">
        <f t="shared" ca="1" si="8"/>
        <v>16107</v>
      </c>
      <c r="Q21" t="s">
        <v>26</v>
      </c>
      <c r="R21" t="s">
        <v>15</v>
      </c>
      <c r="S21" t="s">
        <v>84</v>
      </c>
      <c r="T21" t="str">
        <f t="shared" si="9"/>
        <v xml:space="preserve"> Attack of the Clones </v>
      </c>
    </row>
    <row r="22" spans="1:20" x14ac:dyDescent="0.6">
      <c r="A22" t="s">
        <v>85</v>
      </c>
      <c r="B22">
        <v>183</v>
      </c>
      <c r="C22" s="5">
        <f t="shared" si="1"/>
        <v>72</v>
      </c>
      <c r="D22">
        <f t="shared" si="2"/>
        <v>1.83</v>
      </c>
      <c r="E22">
        <v>78.2</v>
      </c>
      <c r="F22" s="5">
        <f t="shared" si="3"/>
        <v>172.5</v>
      </c>
      <c r="G22">
        <f t="shared" si="0"/>
        <v>23.350951058556539</v>
      </c>
      <c r="H22">
        <f t="shared" si="4"/>
        <v>38</v>
      </c>
      <c r="I22">
        <f t="shared" si="5"/>
        <v>-9.979114621278768</v>
      </c>
      <c r="J22" t="s">
        <v>45</v>
      </c>
      <c r="K22" t="s">
        <v>12</v>
      </c>
      <c r="L22" t="s">
        <v>33</v>
      </c>
      <c r="M22">
        <v>31.5</v>
      </c>
      <c r="N22" s="5" t="b">
        <f t="shared" si="6"/>
        <v>1</v>
      </c>
      <c r="O22">
        <f t="shared" si="7"/>
        <v>11497.5</v>
      </c>
      <c r="P22" s="3">
        <f t="shared" ca="1" si="8"/>
        <v>34539.5</v>
      </c>
      <c r="Q22" t="s">
        <v>86</v>
      </c>
      <c r="R22" t="s">
        <v>15</v>
      </c>
      <c r="S22" t="s">
        <v>87</v>
      </c>
      <c r="T22" t="str">
        <f t="shared" si="9"/>
        <v xml:space="preserve">Attack of the Clones </v>
      </c>
    </row>
    <row r="23" spans="1:20" x14ac:dyDescent="0.6">
      <c r="A23" t="s">
        <v>88</v>
      </c>
      <c r="B23">
        <v>200</v>
      </c>
      <c r="C23" s="5">
        <f t="shared" si="1"/>
        <v>78.5</v>
      </c>
      <c r="D23">
        <f t="shared" si="2"/>
        <v>2</v>
      </c>
      <c r="E23">
        <v>140</v>
      </c>
      <c r="F23" s="5">
        <f t="shared" si="3"/>
        <v>308.75</v>
      </c>
      <c r="G23">
        <f t="shared" si="0"/>
        <v>35</v>
      </c>
      <c r="H23">
        <f t="shared" si="4"/>
        <v>5</v>
      </c>
      <c r="I23">
        <f t="shared" si="5"/>
        <v>1.6699343201646926</v>
      </c>
      <c r="J23" t="s">
        <v>29</v>
      </c>
      <c r="K23" t="s">
        <v>89</v>
      </c>
      <c r="L23" t="s">
        <v>25</v>
      </c>
      <c r="M23">
        <v>15</v>
      </c>
      <c r="N23" s="5" t="b">
        <f t="shared" si="6"/>
        <v>1</v>
      </c>
      <c r="O23">
        <f t="shared" si="7"/>
        <v>5475</v>
      </c>
      <c r="P23" s="3">
        <f t="shared" ca="1" si="8"/>
        <v>40562</v>
      </c>
      <c r="Q23" t="s">
        <v>18</v>
      </c>
      <c r="R23" t="s">
        <v>21</v>
      </c>
      <c r="S23" t="s">
        <v>90</v>
      </c>
      <c r="T23" t="str">
        <f t="shared" si="9"/>
        <v>The Empire Strikes Back</v>
      </c>
    </row>
    <row r="24" spans="1:20" x14ac:dyDescent="0.6">
      <c r="A24" t="s">
        <v>91</v>
      </c>
      <c r="B24">
        <v>190</v>
      </c>
      <c r="C24" s="5">
        <f t="shared" si="1"/>
        <v>74.5</v>
      </c>
      <c r="D24">
        <f t="shared" si="2"/>
        <v>1.9</v>
      </c>
      <c r="E24">
        <v>113</v>
      </c>
      <c r="F24" s="5">
        <f t="shared" si="3"/>
        <v>249</v>
      </c>
      <c r="G24">
        <f t="shared" si="0"/>
        <v>31.301939058171747</v>
      </c>
      <c r="H24">
        <f t="shared" si="4"/>
        <v>12</v>
      </c>
      <c r="I24">
        <f t="shared" si="5"/>
        <v>-2.0281266216635601</v>
      </c>
      <c r="J24" t="s">
        <v>29</v>
      </c>
      <c r="K24" t="s">
        <v>64</v>
      </c>
      <c r="L24" t="s">
        <v>25</v>
      </c>
      <c r="M24">
        <v>53</v>
      </c>
      <c r="N24" s="5" t="b">
        <f t="shared" si="6"/>
        <v>1</v>
      </c>
      <c r="O24">
        <f t="shared" si="7"/>
        <v>19345</v>
      </c>
      <c r="P24" s="3">
        <f t="shared" ca="1" si="8"/>
        <v>26692</v>
      </c>
      <c r="Q24" t="s">
        <v>92</v>
      </c>
      <c r="R24" t="s">
        <v>93</v>
      </c>
      <c r="S24" t="s">
        <v>90</v>
      </c>
      <c r="T24" t="str">
        <f t="shared" si="9"/>
        <v>The Empire Strikes Back</v>
      </c>
    </row>
    <row r="25" spans="1:20" x14ac:dyDescent="0.6">
      <c r="A25" t="s">
        <v>94</v>
      </c>
      <c r="B25">
        <v>177</v>
      </c>
      <c r="C25" s="5">
        <f t="shared" si="1"/>
        <v>69.5</v>
      </c>
      <c r="D25">
        <f t="shared" si="2"/>
        <v>1.77</v>
      </c>
      <c r="E25">
        <v>79</v>
      </c>
      <c r="F25" s="5">
        <f t="shared" si="3"/>
        <v>174.25</v>
      </c>
      <c r="G25">
        <f t="shared" si="0"/>
        <v>25.216253311628201</v>
      </c>
      <c r="H25">
        <f t="shared" si="4"/>
        <v>24</v>
      </c>
      <c r="I25">
        <f t="shared" si="5"/>
        <v>-8.1138123682071068</v>
      </c>
      <c r="J25" t="s">
        <v>45</v>
      </c>
      <c r="K25" t="s">
        <v>95</v>
      </c>
      <c r="L25" t="s">
        <v>33</v>
      </c>
      <c r="M25">
        <v>31</v>
      </c>
      <c r="N25" s="5" t="b">
        <f t="shared" si="6"/>
        <v>1</v>
      </c>
      <c r="O25">
        <f t="shared" si="7"/>
        <v>11315</v>
      </c>
      <c r="P25" s="3">
        <f t="shared" ca="1" si="8"/>
        <v>34722</v>
      </c>
      <c r="Q25" t="s">
        <v>96</v>
      </c>
      <c r="R25" t="s">
        <v>15</v>
      </c>
      <c r="S25" t="s">
        <v>97</v>
      </c>
      <c r="T25" t="str">
        <f t="shared" si="9"/>
        <v xml:space="preserve">Return of the Jedi </v>
      </c>
    </row>
    <row r="26" spans="1:20" x14ac:dyDescent="0.6">
      <c r="A26" t="s">
        <v>98</v>
      </c>
      <c r="B26">
        <v>175</v>
      </c>
      <c r="C26" s="5">
        <f t="shared" si="1"/>
        <v>68.5</v>
      </c>
      <c r="D26">
        <f t="shared" si="2"/>
        <v>1.75</v>
      </c>
      <c r="E26">
        <v>79</v>
      </c>
      <c r="F26" s="5">
        <f t="shared" si="3"/>
        <v>174.25</v>
      </c>
      <c r="G26">
        <f t="shared" si="0"/>
        <v>25.795918367346939</v>
      </c>
      <c r="H26">
        <f t="shared" si="4"/>
        <v>22</v>
      </c>
      <c r="I26">
        <f t="shared" si="5"/>
        <v>-7.5341473124883684</v>
      </c>
      <c r="J26" t="s">
        <v>29</v>
      </c>
      <c r="K26" t="s">
        <v>34</v>
      </c>
      <c r="L26" t="s">
        <v>13</v>
      </c>
      <c r="M26">
        <v>37</v>
      </c>
      <c r="N26" s="5" t="b">
        <f t="shared" si="6"/>
        <v>1</v>
      </c>
      <c r="O26">
        <f t="shared" si="7"/>
        <v>13505</v>
      </c>
      <c r="P26" s="3">
        <f t="shared" ca="1" si="8"/>
        <v>32532</v>
      </c>
      <c r="Q26" t="s">
        <v>99</v>
      </c>
      <c r="R26" t="s">
        <v>15</v>
      </c>
      <c r="S26" t="s">
        <v>90</v>
      </c>
      <c r="T26" t="str">
        <f t="shared" si="9"/>
        <v>The Empire Strikes Back</v>
      </c>
    </row>
    <row r="27" spans="1:20" x14ac:dyDescent="0.6">
      <c r="A27" t="s">
        <v>100</v>
      </c>
      <c r="B27">
        <v>180</v>
      </c>
      <c r="C27" s="5">
        <f t="shared" si="1"/>
        <v>70.5</v>
      </c>
      <c r="D27">
        <f t="shared" si="2"/>
        <v>1.8</v>
      </c>
      <c r="E27">
        <v>83</v>
      </c>
      <c r="F27" s="5">
        <f t="shared" si="3"/>
        <v>183</v>
      </c>
      <c r="G27">
        <f t="shared" si="0"/>
        <v>25.617283950617281</v>
      </c>
      <c r="H27">
        <f t="shared" si="4"/>
        <v>23</v>
      </c>
      <c r="I27">
        <f t="shared" si="5"/>
        <v>-7.7127817292180261</v>
      </c>
      <c r="J27" t="s">
        <v>29</v>
      </c>
      <c r="K27" t="s">
        <v>101</v>
      </c>
      <c r="L27" t="s">
        <v>69</v>
      </c>
      <c r="M27">
        <v>41</v>
      </c>
      <c r="N27" s="5" t="b">
        <f t="shared" si="6"/>
        <v>1</v>
      </c>
      <c r="O27">
        <f t="shared" si="7"/>
        <v>14965</v>
      </c>
      <c r="P27" s="3">
        <f t="shared" ca="1" si="8"/>
        <v>31072</v>
      </c>
      <c r="Q27" t="s">
        <v>102</v>
      </c>
      <c r="R27" t="s">
        <v>103</v>
      </c>
      <c r="S27" t="s">
        <v>104</v>
      </c>
      <c r="T27" t="str">
        <f t="shared" si="9"/>
        <v xml:space="preserve">Return of the Jedi </v>
      </c>
    </row>
    <row r="28" spans="1:20" x14ac:dyDescent="0.6">
      <c r="A28" t="s">
        <v>105</v>
      </c>
      <c r="B28">
        <v>150</v>
      </c>
      <c r="C28" s="5">
        <f t="shared" si="1"/>
        <v>59</v>
      </c>
      <c r="D28">
        <f t="shared" si="2"/>
        <v>1.5</v>
      </c>
      <c r="E28" t="s">
        <v>18</v>
      </c>
      <c r="F28" s="5" t="e">
        <f t="shared" si="3"/>
        <v>#VALUE!</v>
      </c>
      <c r="G28">
        <f t="shared" si="0"/>
        <v>0</v>
      </c>
      <c r="H28">
        <f t="shared" si="4"/>
        <v>60</v>
      </c>
      <c r="I28">
        <f t="shared" si="5"/>
        <v>-33.330065679835307</v>
      </c>
      <c r="J28" t="s">
        <v>106</v>
      </c>
      <c r="K28" t="s">
        <v>12</v>
      </c>
      <c r="L28" t="s">
        <v>13</v>
      </c>
      <c r="M28">
        <v>48</v>
      </c>
      <c r="N28" s="5" t="b">
        <f t="shared" si="6"/>
        <v>1</v>
      </c>
      <c r="O28">
        <f t="shared" si="7"/>
        <v>17520</v>
      </c>
      <c r="P28" s="3">
        <f t="shared" ca="1" si="8"/>
        <v>28517</v>
      </c>
      <c r="Q28" t="s">
        <v>107</v>
      </c>
      <c r="R28" t="s">
        <v>15</v>
      </c>
      <c r="S28" t="s">
        <v>108</v>
      </c>
      <c r="T28" t="str">
        <f t="shared" si="9"/>
        <v>Return of the Jedi</v>
      </c>
    </row>
    <row r="29" spans="1:20" x14ac:dyDescent="0.6">
      <c r="A29" t="s">
        <v>109</v>
      </c>
      <c r="B29" t="s">
        <v>18</v>
      </c>
      <c r="C29" s="5" t="e">
        <f t="shared" si="1"/>
        <v>#VALUE!</v>
      </c>
      <c r="D29" t="e">
        <f t="shared" si="2"/>
        <v>#VALUE!</v>
      </c>
      <c r="E29" t="s">
        <v>18</v>
      </c>
      <c r="F29" s="5" t="e">
        <f t="shared" si="3"/>
        <v>#VALUE!</v>
      </c>
      <c r="G29">
        <f t="shared" si="0"/>
        <v>0</v>
      </c>
      <c r="H29">
        <f t="shared" si="4"/>
        <v>60</v>
      </c>
      <c r="I29">
        <f t="shared" si="5"/>
        <v>-33.330065679835307</v>
      </c>
      <c r="J29" t="s">
        <v>33</v>
      </c>
      <c r="K29" t="s">
        <v>12</v>
      </c>
      <c r="L29" t="s">
        <v>33</v>
      </c>
      <c r="M29" t="s">
        <v>18</v>
      </c>
      <c r="N29" s="5" t="b">
        <f t="shared" si="6"/>
        <v>0</v>
      </c>
      <c r="O29" t="e">
        <f t="shared" si="7"/>
        <v>#VALUE!</v>
      </c>
      <c r="P29" s="3" t="e">
        <f t="shared" ca="1" si="8"/>
        <v>#VALUE!</v>
      </c>
      <c r="Q29" t="s">
        <v>18</v>
      </c>
      <c r="R29" t="s">
        <v>15</v>
      </c>
      <c r="S29" t="s">
        <v>108</v>
      </c>
      <c r="T29" t="str">
        <f t="shared" si="9"/>
        <v>Return of the Jedi</v>
      </c>
    </row>
    <row r="30" spans="1:20" x14ac:dyDescent="0.6">
      <c r="A30" t="s">
        <v>110</v>
      </c>
      <c r="B30">
        <v>88</v>
      </c>
      <c r="C30" s="5">
        <f t="shared" si="1"/>
        <v>34.5</v>
      </c>
      <c r="D30">
        <f t="shared" si="2"/>
        <v>0.88</v>
      </c>
      <c r="E30">
        <v>20</v>
      </c>
      <c r="F30" s="5">
        <f t="shared" si="3"/>
        <v>44</v>
      </c>
      <c r="G30">
        <f t="shared" si="0"/>
        <v>25.826446280991735</v>
      </c>
      <c r="H30">
        <f t="shared" si="4"/>
        <v>21</v>
      </c>
      <c r="I30">
        <f t="shared" si="5"/>
        <v>-7.503619398843572</v>
      </c>
      <c r="J30" t="s">
        <v>33</v>
      </c>
      <c r="K30" t="s">
        <v>33</v>
      </c>
      <c r="L30" t="s">
        <v>33</v>
      </c>
      <c r="M30">
        <v>8</v>
      </c>
      <c r="N30" s="5" t="b">
        <f t="shared" si="6"/>
        <v>1</v>
      </c>
      <c r="O30">
        <f t="shared" si="7"/>
        <v>2920</v>
      </c>
      <c r="P30" s="3">
        <f t="shared" ca="1" si="8"/>
        <v>43117</v>
      </c>
      <c r="Q30" t="s">
        <v>111</v>
      </c>
      <c r="R30" t="s">
        <v>112</v>
      </c>
      <c r="S30" t="s">
        <v>108</v>
      </c>
      <c r="T30" t="str">
        <f t="shared" si="9"/>
        <v>Return of the Jedi</v>
      </c>
    </row>
    <row r="31" spans="1:20" x14ac:dyDescent="0.6">
      <c r="A31" t="s">
        <v>113</v>
      </c>
      <c r="B31">
        <v>160</v>
      </c>
      <c r="C31" s="5">
        <f t="shared" si="1"/>
        <v>62.5</v>
      </c>
      <c r="D31">
        <f t="shared" si="2"/>
        <v>1.6</v>
      </c>
      <c r="E31">
        <v>68</v>
      </c>
      <c r="F31" s="5">
        <f t="shared" si="3"/>
        <v>150</v>
      </c>
      <c r="G31">
        <f t="shared" si="0"/>
        <v>26.562499999999996</v>
      </c>
      <c r="H31">
        <f t="shared" si="4"/>
        <v>16</v>
      </c>
      <c r="I31">
        <f t="shared" si="5"/>
        <v>-6.767565679835311</v>
      </c>
      <c r="J31" t="s">
        <v>29</v>
      </c>
      <c r="K31" t="s">
        <v>82</v>
      </c>
      <c r="L31" t="s">
        <v>45</v>
      </c>
      <c r="M31" t="s">
        <v>18</v>
      </c>
      <c r="N31" s="5" t="b">
        <f t="shared" si="6"/>
        <v>0</v>
      </c>
      <c r="O31" t="e">
        <f t="shared" si="7"/>
        <v>#VALUE!</v>
      </c>
      <c r="P31" s="3" t="e">
        <f t="shared" ca="1" si="8"/>
        <v>#VALUE!</v>
      </c>
      <c r="Q31" t="s">
        <v>114</v>
      </c>
      <c r="R31" t="s">
        <v>115</v>
      </c>
      <c r="S31" t="s">
        <v>108</v>
      </c>
      <c r="T31" t="str">
        <f t="shared" si="9"/>
        <v>Return of the Jedi</v>
      </c>
    </row>
    <row r="32" spans="1:20" x14ac:dyDescent="0.6">
      <c r="A32" t="s">
        <v>116</v>
      </c>
      <c r="B32">
        <v>193</v>
      </c>
      <c r="C32" s="5">
        <f t="shared" si="1"/>
        <v>75.5</v>
      </c>
      <c r="D32">
        <f t="shared" si="2"/>
        <v>1.93</v>
      </c>
      <c r="E32">
        <v>89</v>
      </c>
      <c r="F32" s="5">
        <f t="shared" si="3"/>
        <v>196.25</v>
      </c>
      <c r="G32">
        <f t="shared" si="0"/>
        <v>23.893258879433006</v>
      </c>
      <c r="H32">
        <f t="shared" si="4"/>
        <v>33</v>
      </c>
      <c r="I32">
        <f t="shared" si="5"/>
        <v>-9.4368068004023016</v>
      </c>
      <c r="J32" t="s">
        <v>33</v>
      </c>
      <c r="K32" t="s">
        <v>12</v>
      </c>
      <c r="L32" t="s">
        <v>13</v>
      </c>
      <c r="M32">
        <v>92</v>
      </c>
      <c r="N32" s="5" t="b">
        <f t="shared" si="6"/>
        <v>1</v>
      </c>
      <c r="O32">
        <f t="shared" si="7"/>
        <v>33580</v>
      </c>
      <c r="P32" s="3">
        <f t="shared" ca="1" si="8"/>
        <v>12457</v>
      </c>
      <c r="Q32" t="s">
        <v>18</v>
      </c>
      <c r="R32" t="s">
        <v>15</v>
      </c>
      <c r="S32" t="s">
        <v>117</v>
      </c>
      <c r="T32" t="str">
        <f t="shared" si="9"/>
        <v>The Phantom Menace</v>
      </c>
    </row>
    <row r="33" spans="1:20" x14ac:dyDescent="0.6">
      <c r="A33" t="s">
        <v>118</v>
      </c>
      <c r="B33">
        <v>191</v>
      </c>
      <c r="C33" s="5">
        <f t="shared" si="1"/>
        <v>75</v>
      </c>
      <c r="D33">
        <f t="shared" si="2"/>
        <v>1.91</v>
      </c>
      <c r="E33">
        <v>90</v>
      </c>
      <c r="F33" s="5">
        <f t="shared" si="3"/>
        <v>198.5</v>
      </c>
      <c r="G33">
        <f t="shared" si="0"/>
        <v>24.670376360297141</v>
      </c>
      <c r="H33">
        <f t="shared" si="4"/>
        <v>30</v>
      </c>
      <c r="I33">
        <f t="shared" si="5"/>
        <v>-8.6596893195381668</v>
      </c>
      <c r="J33" t="s">
        <v>29</v>
      </c>
      <c r="K33" t="s">
        <v>119</v>
      </c>
      <c r="L33" t="s">
        <v>25</v>
      </c>
      <c r="M33" t="s">
        <v>18</v>
      </c>
      <c r="N33" s="5" t="b">
        <f t="shared" si="6"/>
        <v>0</v>
      </c>
      <c r="O33" t="e">
        <f t="shared" si="7"/>
        <v>#VALUE!</v>
      </c>
      <c r="P33" s="3" t="e">
        <f t="shared" ca="1" si="8"/>
        <v>#VALUE!</v>
      </c>
      <c r="Q33" t="s">
        <v>120</v>
      </c>
      <c r="R33" t="s">
        <v>121</v>
      </c>
      <c r="S33" t="s">
        <v>51</v>
      </c>
      <c r="T33" t="str">
        <f t="shared" si="9"/>
        <v xml:space="preserve">Attack of the Clones </v>
      </c>
    </row>
    <row r="34" spans="1:20" x14ac:dyDescent="0.6">
      <c r="A34" t="s">
        <v>122</v>
      </c>
      <c r="B34">
        <v>170</v>
      </c>
      <c r="C34" s="5">
        <f t="shared" si="1"/>
        <v>66.5</v>
      </c>
      <c r="D34">
        <f t="shared" si="2"/>
        <v>1.7</v>
      </c>
      <c r="E34" t="s">
        <v>18</v>
      </c>
      <c r="F34" s="5" t="e">
        <f t="shared" si="3"/>
        <v>#VALUE!</v>
      </c>
      <c r="G34">
        <f t="shared" ref="G34:G65" si="10">IF(OR(ISNUMBER(D34)=FALSE, ISNUMBER(E34)=FALSE),0,E34/(D34^2))</f>
        <v>0</v>
      </c>
      <c r="H34">
        <f t="shared" si="4"/>
        <v>60</v>
      </c>
      <c r="I34">
        <f t="shared" si="5"/>
        <v>-33.330065679835307</v>
      </c>
      <c r="J34" t="s">
        <v>11</v>
      </c>
      <c r="K34" t="s">
        <v>12</v>
      </c>
      <c r="L34" t="s">
        <v>13</v>
      </c>
      <c r="M34">
        <v>91</v>
      </c>
      <c r="N34" s="5" t="b">
        <f t="shared" si="6"/>
        <v>1</v>
      </c>
      <c r="O34">
        <f t="shared" si="7"/>
        <v>33215</v>
      </c>
      <c r="P34" s="3">
        <f t="shared" ca="1" si="8"/>
        <v>12822</v>
      </c>
      <c r="Q34" t="s">
        <v>123</v>
      </c>
      <c r="R34" t="s">
        <v>15</v>
      </c>
      <c r="S34" t="s">
        <v>117</v>
      </c>
      <c r="T34" t="str">
        <f t="shared" si="9"/>
        <v>The Phantom Menace</v>
      </c>
    </row>
    <row r="35" spans="1:20" x14ac:dyDescent="0.6">
      <c r="A35" t="s">
        <v>124</v>
      </c>
      <c r="B35">
        <v>196</v>
      </c>
      <c r="C35" s="5">
        <f t="shared" si="1"/>
        <v>77</v>
      </c>
      <c r="D35">
        <f t="shared" si="2"/>
        <v>1.96</v>
      </c>
      <c r="E35">
        <v>66</v>
      </c>
      <c r="F35" s="5">
        <f t="shared" si="3"/>
        <v>145.5</v>
      </c>
      <c r="G35">
        <f t="shared" si="10"/>
        <v>17.180341524364849</v>
      </c>
      <c r="H35">
        <f t="shared" si="4"/>
        <v>53</v>
      </c>
      <c r="I35">
        <f t="shared" si="5"/>
        <v>-16.149724155470459</v>
      </c>
      <c r="J35" t="s">
        <v>29</v>
      </c>
      <c r="K35" t="s">
        <v>69</v>
      </c>
      <c r="L35" t="s">
        <v>69</v>
      </c>
      <c r="M35">
        <v>52</v>
      </c>
      <c r="N35" s="5" t="b">
        <f t="shared" si="6"/>
        <v>1</v>
      </c>
      <c r="O35">
        <f t="shared" si="7"/>
        <v>18980</v>
      </c>
      <c r="P35" s="3">
        <f t="shared" ca="1" si="8"/>
        <v>27057</v>
      </c>
      <c r="Q35" t="s">
        <v>26</v>
      </c>
      <c r="R35" t="s">
        <v>125</v>
      </c>
      <c r="S35" t="s">
        <v>126</v>
      </c>
      <c r="T35" t="str">
        <f t="shared" si="9"/>
        <v xml:space="preserve">Attack of the Clones </v>
      </c>
    </row>
    <row r="36" spans="1:20" x14ac:dyDescent="0.6">
      <c r="A36" t="s">
        <v>127</v>
      </c>
      <c r="B36">
        <v>224</v>
      </c>
      <c r="C36" s="5">
        <f t="shared" si="1"/>
        <v>88</v>
      </c>
      <c r="D36">
        <f t="shared" si="2"/>
        <v>2.2400000000000002</v>
      </c>
      <c r="E36">
        <v>82</v>
      </c>
      <c r="F36" s="5">
        <f t="shared" si="3"/>
        <v>180.75</v>
      </c>
      <c r="G36">
        <f t="shared" si="10"/>
        <v>16.342474489795915</v>
      </c>
      <c r="H36">
        <f t="shared" si="4"/>
        <v>56</v>
      </c>
      <c r="I36">
        <f t="shared" si="5"/>
        <v>-16.987591190039392</v>
      </c>
      <c r="J36" t="s">
        <v>29</v>
      </c>
      <c r="K36" t="s">
        <v>82</v>
      </c>
      <c r="L36" t="s">
        <v>69</v>
      </c>
      <c r="M36" t="s">
        <v>18</v>
      </c>
      <c r="N36" s="5" t="b">
        <f t="shared" si="6"/>
        <v>0</v>
      </c>
      <c r="O36" t="e">
        <f t="shared" si="7"/>
        <v>#VALUE!</v>
      </c>
      <c r="P36" s="3" t="e">
        <f t="shared" ca="1" si="8"/>
        <v>#VALUE!</v>
      </c>
      <c r="Q36" t="s">
        <v>26</v>
      </c>
      <c r="R36" t="s">
        <v>125</v>
      </c>
      <c r="S36" t="s">
        <v>117</v>
      </c>
      <c r="T36" t="str">
        <f t="shared" si="9"/>
        <v>The Phantom Menace</v>
      </c>
    </row>
    <row r="37" spans="1:20" x14ac:dyDescent="0.6">
      <c r="A37" t="s">
        <v>128</v>
      </c>
      <c r="B37">
        <v>206</v>
      </c>
      <c r="C37" s="5">
        <f t="shared" si="1"/>
        <v>81</v>
      </c>
      <c r="D37">
        <f t="shared" si="2"/>
        <v>2.06</v>
      </c>
      <c r="E37" t="s">
        <v>18</v>
      </c>
      <c r="F37" s="5" t="e">
        <f t="shared" si="3"/>
        <v>#VALUE!</v>
      </c>
      <c r="G37">
        <f t="shared" si="10"/>
        <v>0</v>
      </c>
      <c r="H37">
        <f t="shared" si="4"/>
        <v>60</v>
      </c>
      <c r="I37">
        <f t="shared" si="5"/>
        <v>-33.330065679835307</v>
      </c>
      <c r="J37" t="s">
        <v>29</v>
      </c>
      <c r="K37" t="s">
        <v>64</v>
      </c>
      <c r="L37" t="s">
        <v>69</v>
      </c>
      <c r="M37" t="s">
        <v>18</v>
      </c>
      <c r="N37" s="5" t="b">
        <f t="shared" si="6"/>
        <v>0</v>
      </c>
      <c r="O37" t="e">
        <f t="shared" si="7"/>
        <v>#VALUE!</v>
      </c>
      <c r="P37" s="3" t="e">
        <f t="shared" ca="1" si="8"/>
        <v>#VALUE!</v>
      </c>
      <c r="Q37" t="s">
        <v>26</v>
      </c>
      <c r="R37" t="s">
        <v>125</v>
      </c>
      <c r="S37" t="s">
        <v>117</v>
      </c>
      <c r="T37" t="str">
        <f t="shared" si="9"/>
        <v>The Phantom Menace</v>
      </c>
    </row>
    <row r="38" spans="1:20" x14ac:dyDescent="0.6">
      <c r="A38" t="s">
        <v>129</v>
      </c>
      <c r="B38">
        <v>183</v>
      </c>
      <c r="C38" s="5">
        <f t="shared" si="1"/>
        <v>72</v>
      </c>
      <c r="D38">
        <f t="shared" si="2"/>
        <v>1.83</v>
      </c>
      <c r="E38" t="s">
        <v>18</v>
      </c>
      <c r="F38" s="5" t="e">
        <f t="shared" si="3"/>
        <v>#VALUE!</v>
      </c>
      <c r="G38">
        <f t="shared" si="10"/>
        <v>0</v>
      </c>
      <c r="H38">
        <f t="shared" si="4"/>
        <v>60</v>
      </c>
      <c r="I38">
        <f t="shared" si="5"/>
        <v>-33.330065679835307</v>
      </c>
      <c r="J38" t="s">
        <v>33</v>
      </c>
      <c r="K38" t="s">
        <v>12</v>
      </c>
      <c r="L38" t="s">
        <v>13</v>
      </c>
      <c r="M38" t="s">
        <v>18</v>
      </c>
      <c r="N38" s="5" t="b">
        <f t="shared" si="6"/>
        <v>0</v>
      </c>
      <c r="O38" t="e">
        <f t="shared" si="7"/>
        <v>#VALUE!</v>
      </c>
      <c r="P38" s="3" t="e">
        <f t="shared" ca="1" si="8"/>
        <v>#VALUE!</v>
      </c>
      <c r="Q38" t="s">
        <v>26</v>
      </c>
      <c r="R38" t="s">
        <v>18</v>
      </c>
      <c r="S38" t="s">
        <v>117</v>
      </c>
      <c r="T38" t="str">
        <f t="shared" si="9"/>
        <v>The Phantom Menace</v>
      </c>
    </row>
    <row r="39" spans="1:20" x14ac:dyDescent="0.6">
      <c r="A39" t="s">
        <v>130</v>
      </c>
      <c r="B39">
        <v>137</v>
      </c>
      <c r="C39" s="5">
        <f t="shared" si="1"/>
        <v>53.5</v>
      </c>
      <c r="D39">
        <f t="shared" si="2"/>
        <v>1.37</v>
      </c>
      <c r="E39" t="s">
        <v>18</v>
      </c>
      <c r="F39" s="5" t="e">
        <f t="shared" si="3"/>
        <v>#VALUE!</v>
      </c>
      <c r="G39">
        <f t="shared" si="10"/>
        <v>0</v>
      </c>
      <c r="H39">
        <f t="shared" si="4"/>
        <v>60</v>
      </c>
      <c r="I39">
        <f t="shared" si="5"/>
        <v>-33.330065679835307</v>
      </c>
      <c r="J39" t="s">
        <v>45</v>
      </c>
      <c r="K39" t="s">
        <v>131</v>
      </c>
      <c r="L39" t="s">
        <v>20</v>
      </c>
      <c r="M39" t="s">
        <v>18</v>
      </c>
      <c r="N39" s="5" t="b">
        <f t="shared" si="6"/>
        <v>0</v>
      </c>
      <c r="O39" t="e">
        <f t="shared" si="7"/>
        <v>#VALUE!</v>
      </c>
      <c r="P39" s="3" t="e">
        <f t="shared" ca="1" si="8"/>
        <v>#VALUE!</v>
      </c>
      <c r="Q39" t="s">
        <v>132</v>
      </c>
      <c r="R39" t="s">
        <v>133</v>
      </c>
      <c r="S39" t="s">
        <v>134</v>
      </c>
      <c r="T39" t="str">
        <f t="shared" si="9"/>
        <v xml:space="preserve"> Attack of the Clones </v>
      </c>
    </row>
    <row r="40" spans="1:20" x14ac:dyDescent="0.6">
      <c r="A40" t="s">
        <v>135</v>
      </c>
      <c r="B40">
        <v>112</v>
      </c>
      <c r="C40" s="5">
        <f t="shared" si="1"/>
        <v>44</v>
      </c>
      <c r="D40">
        <f t="shared" si="2"/>
        <v>1.1200000000000001</v>
      </c>
      <c r="E40">
        <v>40</v>
      </c>
      <c r="F40" s="5">
        <f t="shared" si="3"/>
        <v>88.25</v>
      </c>
      <c r="G40">
        <f t="shared" si="10"/>
        <v>31.887755102040813</v>
      </c>
      <c r="H40">
        <f t="shared" si="4"/>
        <v>11</v>
      </c>
      <c r="I40">
        <f t="shared" si="5"/>
        <v>-1.442310577794494</v>
      </c>
      <c r="J40" t="s">
        <v>29</v>
      </c>
      <c r="K40" t="s">
        <v>136</v>
      </c>
      <c r="L40" t="s">
        <v>69</v>
      </c>
      <c r="M40" t="s">
        <v>18</v>
      </c>
      <c r="N40" s="5" t="b">
        <f t="shared" si="6"/>
        <v>0</v>
      </c>
      <c r="O40" t="e">
        <f t="shared" si="7"/>
        <v>#VALUE!</v>
      </c>
      <c r="P40" s="3" t="e">
        <f t="shared" ca="1" si="8"/>
        <v>#VALUE!</v>
      </c>
      <c r="Q40" t="s">
        <v>137</v>
      </c>
      <c r="R40" t="s">
        <v>138</v>
      </c>
      <c r="S40" t="s">
        <v>117</v>
      </c>
      <c r="T40" t="str">
        <f t="shared" si="9"/>
        <v>The Phantom Menace</v>
      </c>
    </row>
    <row r="41" spans="1:20" x14ac:dyDescent="0.6">
      <c r="A41" t="s">
        <v>139</v>
      </c>
      <c r="B41">
        <v>183</v>
      </c>
      <c r="C41" s="5">
        <f t="shared" si="1"/>
        <v>72</v>
      </c>
      <c r="D41">
        <f t="shared" si="2"/>
        <v>1.83</v>
      </c>
      <c r="E41" t="s">
        <v>18</v>
      </c>
      <c r="F41" s="5" t="e">
        <f t="shared" si="3"/>
        <v>#VALUE!</v>
      </c>
      <c r="G41">
        <f t="shared" si="10"/>
        <v>0</v>
      </c>
      <c r="H41">
        <f t="shared" si="4"/>
        <v>60</v>
      </c>
      <c r="I41">
        <f t="shared" si="5"/>
        <v>-33.330065679835307</v>
      </c>
      <c r="J41" t="s">
        <v>45</v>
      </c>
      <c r="K41" t="s">
        <v>95</v>
      </c>
      <c r="L41" t="s">
        <v>33</v>
      </c>
      <c r="M41">
        <v>62</v>
      </c>
      <c r="N41" s="5" t="b">
        <f t="shared" si="6"/>
        <v>1</v>
      </c>
      <c r="O41">
        <f t="shared" si="7"/>
        <v>22630</v>
      </c>
      <c r="P41" s="3">
        <f t="shared" ca="1" si="8"/>
        <v>23407</v>
      </c>
      <c r="Q41" t="s">
        <v>26</v>
      </c>
      <c r="R41" t="s">
        <v>18</v>
      </c>
      <c r="S41" t="s">
        <v>117</v>
      </c>
      <c r="T41" t="str">
        <f t="shared" si="9"/>
        <v>The Phantom Menace</v>
      </c>
    </row>
    <row r="42" spans="1:20" x14ac:dyDescent="0.6">
      <c r="A42" t="s">
        <v>140</v>
      </c>
      <c r="B42">
        <v>163</v>
      </c>
      <c r="C42" s="5">
        <f t="shared" si="1"/>
        <v>64</v>
      </c>
      <c r="D42">
        <f t="shared" si="2"/>
        <v>1.63</v>
      </c>
      <c r="E42" t="s">
        <v>18</v>
      </c>
      <c r="F42" s="5" t="e">
        <f t="shared" si="3"/>
        <v>#VALUE!</v>
      </c>
      <c r="G42">
        <f t="shared" si="10"/>
        <v>0</v>
      </c>
      <c r="H42">
        <f t="shared" si="4"/>
        <v>60</v>
      </c>
      <c r="I42">
        <f t="shared" si="5"/>
        <v>-33.330065679835307</v>
      </c>
      <c r="J42" t="s">
        <v>45</v>
      </c>
      <c r="K42" t="s">
        <v>12</v>
      </c>
      <c r="L42" t="s">
        <v>33</v>
      </c>
      <c r="M42">
        <v>72</v>
      </c>
      <c r="N42" s="5" t="b">
        <f t="shared" si="6"/>
        <v>1</v>
      </c>
      <c r="O42">
        <f t="shared" si="7"/>
        <v>26280</v>
      </c>
      <c r="P42" s="3">
        <f t="shared" ca="1" si="8"/>
        <v>19757</v>
      </c>
      <c r="Q42" t="s">
        <v>14</v>
      </c>
      <c r="R42" t="s">
        <v>15</v>
      </c>
      <c r="S42" t="s">
        <v>134</v>
      </c>
      <c r="T42" t="str">
        <f t="shared" si="9"/>
        <v xml:space="preserve"> Attack of the Clones </v>
      </c>
    </row>
    <row r="43" spans="1:20" x14ac:dyDescent="0.6">
      <c r="A43" t="s">
        <v>141</v>
      </c>
      <c r="B43">
        <v>175</v>
      </c>
      <c r="C43" s="5">
        <f t="shared" si="1"/>
        <v>68.5</v>
      </c>
      <c r="D43">
        <f t="shared" si="2"/>
        <v>1.75</v>
      </c>
      <c r="E43">
        <v>80</v>
      </c>
      <c r="F43" s="5">
        <f t="shared" si="3"/>
        <v>176.25</v>
      </c>
      <c r="G43">
        <f t="shared" si="10"/>
        <v>26.122448979591837</v>
      </c>
      <c r="H43">
        <f t="shared" si="4"/>
        <v>17</v>
      </c>
      <c r="I43">
        <f t="shared" si="5"/>
        <v>-7.2076167002434701</v>
      </c>
      <c r="J43" t="s">
        <v>29</v>
      </c>
      <c r="K43" t="s">
        <v>25</v>
      </c>
      <c r="L43" t="s">
        <v>20</v>
      </c>
      <c r="M43">
        <v>54</v>
      </c>
      <c r="N43" s="5" t="b">
        <f t="shared" si="6"/>
        <v>1</v>
      </c>
      <c r="O43">
        <f t="shared" si="7"/>
        <v>19710</v>
      </c>
      <c r="P43" s="3">
        <f t="shared" ca="1" si="8"/>
        <v>26327</v>
      </c>
      <c r="Q43" t="s">
        <v>142</v>
      </c>
      <c r="R43" t="s">
        <v>143</v>
      </c>
      <c r="S43" t="s">
        <v>117</v>
      </c>
      <c r="T43" t="str">
        <f t="shared" si="9"/>
        <v>The Phantom Menace</v>
      </c>
    </row>
    <row r="44" spans="1:20" x14ac:dyDescent="0.6">
      <c r="A44" t="s">
        <v>144</v>
      </c>
      <c r="B44">
        <v>180</v>
      </c>
      <c r="C44" s="5">
        <f t="shared" si="1"/>
        <v>70.5</v>
      </c>
      <c r="D44">
        <f t="shared" si="2"/>
        <v>1.8</v>
      </c>
      <c r="E44" t="s">
        <v>18</v>
      </c>
      <c r="F44" s="5" t="e">
        <f t="shared" si="3"/>
        <v>#VALUE!</v>
      </c>
      <c r="G44">
        <f t="shared" si="10"/>
        <v>0</v>
      </c>
      <c r="H44">
        <f t="shared" si="4"/>
        <v>60</v>
      </c>
      <c r="I44">
        <f t="shared" si="5"/>
        <v>-33.330065679835307</v>
      </c>
      <c r="J44" t="s">
        <v>29</v>
      </c>
      <c r="K44" t="s">
        <v>83</v>
      </c>
      <c r="L44" t="s">
        <v>145</v>
      </c>
      <c r="M44" t="s">
        <v>18</v>
      </c>
      <c r="N44" s="5" t="b">
        <f t="shared" si="6"/>
        <v>0</v>
      </c>
      <c r="O44" t="e">
        <f t="shared" si="7"/>
        <v>#VALUE!</v>
      </c>
      <c r="P44" s="3" t="e">
        <f t="shared" ca="1" si="8"/>
        <v>#VALUE!</v>
      </c>
      <c r="Q44" t="s">
        <v>146</v>
      </c>
      <c r="R44" t="s">
        <v>147</v>
      </c>
      <c r="S44" t="s">
        <v>108</v>
      </c>
      <c r="T44" t="str">
        <f t="shared" si="9"/>
        <v>Return of the Jedi</v>
      </c>
    </row>
    <row r="45" spans="1:20" x14ac:dyDescent="0.6">
      <c r="A45" t="s">
        <v>148</v>
      </c>
      <c r="B45">
        <v>178</v>
      </c>
      <c r="C45" s="5">
        <f t="shared" si="1"/>
        <v>70</v>
      </c>
      <c r="D45">
        <f t="shared" si="2"/>
        <v>1.78</v>
      </c>
      <c r="E45">
        <v>55</v>
      </c>
      <c r="F45" s="5">
        <f t="shared" si="3"/>
        <v>121.25</v>
      </c>
      <c r="G45">
        <f t="shared" si="10"/>
        <v>17.35891932836763</v>
      </c>
      <c r="H45">
        <f t="shared" si="4"/>
        <v>52</v>
      </c>
      <c r="I45">
        <f t="shared" si="5"/>
        <v>-15.971146351467677</v>
      </c>
      <c r="J45" t="s">
        <v>29</v>
      </c>
      <c r="K45" t="s">
        <v>13</v>
      </c>
      <c r="L45" t="s">
        <v>74</v>
      </c>
      <c r="M45">
        <v>48</v>
      </c>
      <c r="N45" s="5" t="b">
        <f t="shared" si="6"/>
        <v>1</v>
      </c>
      <c r="O45">
        <f t="shared" si="7"/>
        <v>17520</v>
      </c>
      <c r="P45" s="3">
        <f t="shared" ca="1" si="8"/>
        <v>28517</v>
      </c>
      <c r="Q45" t="s">
        <v>146</v>
      </c>
      <c r="R45" t="s">
        <v>147</v>
      </c>
      <c r="S45" t="s">
        <v>149</v>
      </c>
      <c r="T45" t="str">
        <f t="shared" si="9"/>
        <v xml:space="preserve"> Attack of the Clones </v>
      </c>
    </row>
    <row r="46" spans="1:20" x14ac:dyDescent="0.6">
      <c r="A46" t="s">
        <v>150</v>
      </c>
      <c r="B46">
        <v>94</v>
      </c>
      <c r="C46" s="5">
        <f t="shared" si="1"/>
        <v>37</v>
      </c>
      <c r="D46">
        <f t="shared" si="2"/>
        <v>0.94</v>
      </c>
      <c r="E46">
        <v>45</v>
      </c>
      <c r="F46" s="5">
        <f t="shared" si="3"/>
        <v>99.25</v>
      </c>
      <c r="G46">
        <f t="shared" si="10"/>
        <v>50.928021729289277</v>
      </c>
      <c r="H46">
        <f t="shared" si="4"/>
        <v>2</v>
      </c>
      <c r="I46">
        <f t="shared" si="5"/>
        <v>17.59795604945397</v>
      </c>
      <c r="J46" t="s">
        <v>29</v>
      </c>
      <c r="K46" t="s">
        <v>131</v>
      </c>
      <c r="L46" t="s">
        <v>20</v>
      </c>
      <c r="M46" t="s">
        <v>18</v>
      </c>
      <c r="N46" s="5" t="b">
        <f t="shared" si="6"/>
        <v>0</v>
      </c>
      <c r="O46" t="e">
        <f t="shared" si="7"/>
        <v>#VALUE!</v>
      </c>
      <c r="P46" s="3" t="e">
        <f t="shared" ca="1" si="8"/>
        <v>#VALUE!</v>
      </c>
      <c r="Q46" t="s">
        <v>151</v>
      </c>
      <c r="R46" t="s">
        <v>152</v>
      </c>
      <c r="S46" t="s">
        <v>117</v>
      </c>
      <c r="T46" t="str">
        <f t="shared" si="9"/>
        <v>The Phantom Menace</v>
      </c>
    </row>
    <row r="47" spans="1:20" x14ac:dyDescent="0.6">
      <c r="A47" t="s">
        <v>153</v>
      </c>
      <c r="B47">
        <v>122</v>
      </c>
      <c r="C47" s="5">
        <f t="shared" si="1"/>
        <v>48</v>
      </c>
      <c r="D47">
        <f t="shared" si="2"/>
        <v>1.22</v>
      </c>
      <c r="E47" t="s">
        <v>18</v>
      </c>
      <c r="F47" s="5" t="e">
        <f t="shared" si="3"/>
        <v>#VALUE!</v>
      </c>
      <c r="G47">
        <f t="shared" si="10"/>
        <v>0</v>
      </c>
      <c r="H47">
        <f t="shared" si="4"/>
        <v>60</v>
      </c>
      <c r="I47">
        <f t="shared" si="5"/>
        <v>-33.330065679835307</v>
      </c>
      <c r="J47" t="s">
        <v>29</v>
      </c>
      <c r="K47" t="s">
        <v>24</v>
      </c>
      <c r="L47" t="s">
        <v>45</v>
      </c>
      <c r="M47" t="s">
        <v>18</v>
      </c>
      <c r="N47" s="5" t="b">
        <f t="shared" si="6"/>
        <v>0</v>
      </c>
      <c r="O47" t="e">
        <f t="shared" si="7"/>
        <v>#VALUE!</v>
      </c>
      <c r="P47" s="3" t="e">
        <f t="shared" ca="1" si="8"/>
        <v>#VALUE!</v>
      </c>
      <c r="Q47" t="s">
        <v>154</v>
      </c>
      <c r="R47" t="s">
        <v>155</v>
      </c>
      <c r="S47" t="s">
        <v>117</v>
      </c>
      <c r="T47" t="str">
        <f t="shared" si="9"/>
        <v>The Phantom Menace</v>
      </c>
    </row>
    <row r="48" spans="1:20" x14ac:dyDescent="0.6">
      <c r="A48" t="s">
        <v>156</v>
      </c>
      <c r="B48">
        <v>163</v>
      </c>
      <c r="C48" s="5">
        <f t="shared" si="1"/>
        <v>64</v>
      </c>
      <c r="D48">
        <f t="shared" si="2"/>
        <v>1.63</v>
      </c>
      <c r="E48">
        <v>65</v>
      </c>
      <c r="F48" s="5">
        <f t="shared" si="3"/>
        <v>143.25</v>
      </c>
      <c r="G48">
        <f t="shared" si="10"/>
        <v>24.464601603372351</v>
      </c>
      <c r="H48">
        <f t="shared" si="4"/>
        <v>31</v>
      </c>
      <c r="I48">
        <f t="shared" si="5"/>
        <v>-8.8654640764629562</v>
      </c>
      <c r="J48" t="s">
        <v>29</v>
      </c>
      <c r="K48" t="s">
        <v>157</v>
      </c>
      <c r="L48" t="s">
        <v>69</v>
      </c>
      <c r="M48" t="s">
        <v>18</v>
      </c>
      <c r="N48" s="5" t="b">
        <f t="shared" si="6"/>
        <v>0</v>
      </c>
      <c r="O48" t="e">
        <f t="shared" si="7"/>
        <v>#VALUE!</v>
      </c>
      <c r="P48" s="3" t="e">
        <f t="shared" ca="1" si="8"/>
        <v>#VALUE!</v>
      </c>
      <c r="Q48" t="s">
        <v>158</v>
      </c>
      <c r="R48" t="s">
        <v>159</v>
      </c>
      <c r="S48" t="s">
        <v>117</v>
      </c>
      <c r="T48" t="str">
        <f t="shared" si="9"/>
        <v>The Phantom Menace</v>
      </c>
    </row>
    <row r="49" spans="1:20" x14ac:dyDescent="0.6">
      <c r="A49" t="s">
        <v>160</v>
      </c>
      <c r="B49">
        <v>188</v>
      </c>
      <c r="C49" s="5">
        <f t="shared" si="1"/>
        <v>74</v>
      </c>
      <c r="D49">
        <f t="shared" si="2"/>
        <v>1.88</v>
      </c>
      <c r="E49">
        <v>84</v>
      </c>
      <c r="F49" s="5">
        <f t="shared" si="3"/>
        <v>185.25</v>
      </c>
      <c r="G49">
        <f t="shared" si="10"/>
        <v>23.766410140334994</v>
      </c>
      <c r="H49">
        <f t="shared" si="4"/>
        <v>35</v>
      </c>
      <c r="I49">
        <f t="shared" si="5"/>
        <v>-9.5636555395003136</v>
      </c>
      <c r="J49" t="s">
        <v>29</v>
      </c>
      <c r="K49" t="s">
        <v>95</v>
      </c>
      <c r="L49" t="s">
        <v>33</v>
      </c>
      <c r="M49">
        <v>72</v>
      </c>
      <c r="N49" s="5" t="b">
        <f t="shared" si="6"/>
        <v>1</v>
      </c>
      <c r="O49">
        <f t="shared" si="7"/>
        <v>26280</v>
      </c>
      <c r="P49" s="3">
        <f t="shared" ca="1" si="8"/>
        <v>19757</v>
      </c>
      <c r="Q49" t="s">
        <v>161</v>
      </c>
      <c r="R49" t="s">
        <v>15</v>
      </c>
      <c r="S49" t="s">
        <v>51</v>
      </c>
      <c r="T49" t="str">
        <f t="shared" si="9"/>
        <v xml:space="preserve">Attack of the Clones </v>
      </c>
    </row>
    <row r="50" spans="1:20" x14ac:dyDescent="0.6">
      <c r="A50" t="s">
        <v>162</v>
      </c>
      <c r="B50">
        <v>198</v>
      </c>
      <c r="C50" s="5">
        <f t="shared" si="1"/>
        <v>77.5</v>
      </c>
      <c r="D50">
        <f t="shared" si="2"/>
        <v>1.98</v>
      </c>
      <c r="E50">
        <v>82</v>
      </c>
      <c r="F50" s="5">
        <f t="shared" si="3"/>
        <v>180.75</v>
      </c>
      <c r="G50">
        <f t="shared" si="10"/>
        <v>20.91623303744516</v>
      </c>
      <c r="H50">
        <f t="shared" si="4"/>
        <v>46</v>
      </c>
      <c r="I50">
        <f t="shared" si="5"/>
        <v>-12.413832642390147</v>
      </c>
      <c r="J50" t="s">
        <v>30</v>
      </c>
      <c r="K50" t="s">
        <v>83</v>
      </c>
      <c r="L50" t="s">
        <v>20</v>
      </c>
      <c r="M50">
        <v>92</v>
      </c>
      <c r="N50" s="5" t="b">
        <f t="shared" si="6"/>
        <v>1</v>
      </c>
      <c r="O50">
        <f t="shared" si="7"/>
        <v>33580</v>
      </c>
      <c r="P50" s="3">
        <f t="shared" ca="1" si="8"/>
        <v>12457</v>
      </c>
      <c r="Q50" t="s">
        <v>163</v>
      </c>
      <c r="R50" t="s">
        <v>164</v>
      </c>
      <c r="S50" t="s">
        <v>51</v>
      </c>
      <c r="T50" t="str">
        <f t="shared" si="9"/>
        <v xml:space="preserve">Attack of the Clones </v>
      </c>
    </row>
    <row r="51" spans="1:20" x14ac:dyDescent="0.6">
      <c r="A51" t="s">
        <v>165</v>
      </c>
      <c r="B51">
        <v>196</v>
      </c>
      <c r="C51" s="5">
        <f t="shared" si="1"/>
        <v>77</v>
      </c>
      <c r="D51">
        <f t="shared" si="2"/>
        <v>1.96</v>
      </c>
      <c r="E51">
        <v>87</v>
      </c>
      <c r="F51" s="5">
        <f t="shared" si="3"/>
        <v>191.75</v>
      </c>
      <c r="G51">
        <f t="shared" si="10"/>
        <v>22.646813827571847</v>
      </c>
      <c r="H51">
        <f t="shared" si="4"/>
        <v>40</v>
      </c>
      <c r="I51">
        <f t="shared" si="5"/>
        <v>-10.68325185226346</v>
      </c>
      <c r="J51" t="s">
        <v>29</v>
      </c>
      <c r="K51" t="s">
        <v>64</v>
      </c>
      <c r="L51" t="s">
        <v>45</v>
      </c>
      <c r="M51" t="s">
        <v>18</v>
      </c>
      <c r="N51" s="5" t="b">
        <f t="shared" si="6"/>
        <v>0</v>
      </c>
      <c r="O51" t="e">
        <f t="shared" si="7"/>
        <v>#VALUE!</v>
      </c>
      <c r="P51" s="3" t="e">
        <f t="shared" ca="1" si="8"/>
        <v>#VALUE!</v>
      </c>
      <c r="Q51" t="s">
        <v>166</v>
      </c>
      <c r="R51" t="s">
        <v>167</v>
      </c>
      <c r="S51" t="s">
        <v>51</v>
      </c>
      <c r="T51" t="str">
        <f t="shared" si="9"/>
        <v xml:space="preserve">Attack of the Clones </v>
      </c>
    </row>
    <row r="52" spans="1:20" x14ac:dyDescent="0.6">
      <c r="A52" t="s">
        <v>168</v>
      </c>
      <c r="B52">
        <v>171</v>
      </c>
      <c r="C52" s="5">
        <f t="shared" si="1"/>
        <v>67</v>
      </c>
      <c r="D52">
        <f t="shared" si="2"/>
        <v>1.71</v>
      </c>
      <c r="E52" t="s">
        <v>18</v>
      </c>
      <c r="F52" s="5" t="e">
        <f t="shared" si="3"/>
        <v>#VALUE!</v>
      </c>
      <c r="G52">
        <f t="shared" si="10"/>
        <v>0</v>
      </c>
      <c r="H52">
        <f t="shared" si="4"/>
        <v>60</v>
      </c>
      <c r="I52">
        <f t="shared" si="5"/>
        <v>-33.330065679835307</v>
      </c>
      <c r="J52" t="s">
        <v>45</v>
      </c>
      <c r="K52" t="s">
        <v>33</v>
      </c>
      <c r="L52" t="s">
        <v>33</v>
      </c>
      <c r="M52" t="s">
        <v>18</v>
      </c>
      <c r="N52" s="5" t="b">
        <f t="shared" si="6"/>
        <v>0</v>
      </c>
      <c r="O52" t="e">
        <f t="shared" si="7"/>
        <v>#VALUE!</v>
      </c>
      <c r="P52" s="3" t="e">
        <f t="shared" ca="1" si="8"/>
        <v>#VALUE!</v>
      </c>
      <c r="Q52" t="s">
        <v>169</v>
      </c>
      <c r="R52" t="s">
        <v>143</v>
      </c>
      <c r="S52" t="s">
        <v>170</v>
      </c>
      <c r="T52" t="str">
        <f t="shared" si="9"/>
        <v xml:space="preserve">The Phantom Menace </v>
      </c>
    </row>
    <row r="53" spans="1:20" x14ac:dyDescent="0.6">
      <c r="A53" t="s">
        <v>171</v>
      </c>
      <c r="B53">
        <v>184</v>
      </c>
      <c r="C53" s="5">
        <f t="shared" si="1"/>
        <v>72</v>
      </c>
      <c r="D53">
        <f t="shared" si="2"/>
        <v>1.84</v>
      </c>
      <c r="E53">
        <v>50</v>
      </c>
      <c r="F53" s="5">
        <f t="shared" si="3"/>
        <v>110.25</v>
      </c>
      <c r="G53">
        <f t="shared" si="10"/>
        <v>14.768431001890358</v>
      </c>
      <c r="H53">
        <f t="shared" si="4"/>
        <v>58</v>
      </c>
      <c r="I53">
        <f t="shared" si="5"/>
        <v>-18.561634677944951</v>
      </c>
      <c r="J53" t="s">
        <v>29</v>
      </c>
      <c r="K53" t="s">
        <v>95</v>
      </c>
      <c r="L53" t="s">
        <v>13</v>
      </c>
      <c r="M53" t="s">
        <v>18</v>
      </c>
      <c r="N53" s="5" t="b">
        <f t="shared" si="6"/>
        <v>0</v>
      </c>
      <c r="O53" t="e">
        <f t="shared" si="7"/>
        <v>#VALUE!</v>
      </c>
      <c r="P53" s="3" t="e">
        <f t="shared" ca="1" si="8"/>
        <v>#VALUE!</v>
      </c>
      <c r="Q53" t="s">
        <v>123</v>
      </c>
      <c r="R53" t="s">
        <v>172</v>
      </c>
      <c r="S53" t="s">
        <v>170</v>
      </c>
      <c r="T53" t="str">
        <f t="shared" si="9"/>
        <v xml:space="preserve">The Phantom Menace </v>
      </c>
    </row>
    <row r="54" spans="1:20" x14ac:dyDescent="0.6">
      <c r="A54" t="s">
        <v>173</v>
      </c>
      <c r="B54">
        <v>188</v>
      </c>
      <c r="C54" s="5">
        <f t="shared" si="1"/>
        <v>74</v>
      </c>
      <c r="D54">
        <f t="shared" si="2"/>
        <v>1.88</v>
      </c>
      <c r="E54" t="s">
        <v>18</v>
      </c>
      <c r="F54" s="5" t="e">
        <f t="shared" si="3"/>
        <v>#VALUE!</v>
      </c>
      <c r="G54">
        <f t="shared" si="10"/>
        <v>0</v>
      </c>
      <c r="H54">
        <f t="shared" si="4"/>
        <v>60</v>
      </c>
      <c r="I54">
        <f t="shared" si="5"/>
        <v>-33.330065679835307</v>
      </c>
      <c r="J54" t="s">
        <v>29</v>
      </c>
      <c r="K54" t="s">
        <v>83</v>
      </c>
      <c r="L54" t="s">
        <v>69</v>
      </c>
      <c r="M54" t="s">
        <v>18</v>
      </c>
      <c r="N54" s="5" t="b">
        <f t="shared" si="6"/>
        <v>0</v>
      </c>
      <c r="O54" t="e">
        <f t="shared" si="7"/>
        <v>#VALUE!</v>
      </c>
      <c r="P54" s="3" t="e">
        <f t="shared" ca="1" si="8"/>
        <v>#VALUE!</v>
      </c>
      <c r="Q54" t="s">
        <v>174</v>
      </c>
      <c r="R54" t="s">
        <v>175</v>
      </c>
      <c r="S54" t="s">
        <v>170</v>
      </c>
      <c r="T54" t="str">
        <f t="shared" si="9"/>
        <v xml:space="preserve">The Phantom Menace </v>
      </c>
    </row>
    <row r="55" spans="1:20" x14ac:dyDescent="0.6">
      <c r="A55" t="s">
        <v>176</v>
      </c>
      <c r="B55">
        <v>264</v>
      </c>
      <c r="C55" s="5">
        <f t="shared" si="1"/>
        <v>103.5</v>
      </c>
      <c r="D55">
        <f t="shared" si="2"/>
        <v>2.64</v>
      </c>
      <c r="E55" t="s">
        <v>18</v>
      </c>
      <c r="F55" s="5" t="e">
        <f t="shared" si="3"/>
        <v>#VALUE!</v>
      </c>
      <c r="G55">
        <f t="shared" si="10"/>
        <v>0</v>
      </c>
      <c r="H55">
        <f t="shared" si="4"/>
        <v>60</v>
      </c>
      <c r="I55">
        <f t="shared" si="5"/>
        <v>-33.330065679835307</v>
      </c>
      <c r="J55" t="s">
        <v>29</v>
      </c>
      <c r="K55" t="s">
        <v>30</v>
      </c>
      <c r="L55" t="s">
        <v>20</v>
      </c>
      <c r="M55" t="s">
        <v>18</v>
      </c>
      <c r="N55" s="5" t="b">
        <f t="shared" si="6"/>
        <v>0</v>
      </c>
      <c r="O55" t="e">
        <f t="shared" si="7"/>
        <v>#VALUE!</v>
      </c>
      <c r="P55" s="3" t="e">
        <f t="shared" ca="1" si="8"/>
        <v>#VALUE!</v>
      </c>
      <c r="Q55" t="s">
        <v>177</v>
      </c>
      <c r="R55" t="s">
        <v>178</v>
      </c>
      <c r="S55" t="s">
        <v>117</v>
      </c>
      <c r="T55" t="str">
        <f t="shared" si="9"/>
        <v>The Phantom Menace</v>
      </c>
    </row>
    <row r="56" spans="1:20" x14ac:dyDescent="0.6">
      <c r="A56" t="s">
        <v>179</v>
      </c>
      <c r="B56">
        <v>188</v>
      </c>
      <c r="C56" s="5">
        <f t="shared" si="1"/>
        <v>74</v>
      </c>
      <c r="D56">
        <f t="shared" si="2"/>
        <v>1.88</v>
      </c>
      <c r="E56">
        <v>80</v>
      </c>
      <c r="F56" s="5">
        <f t="shared" si="3"/>
        <v>176.25</v>
      </c>
      <c r="G56">
        <f t="shared" si="10"/>
        <v>22.634676324128566</v>
      </c>
      <c r="H56">
        <f t="shared" si="4"/>
        <v>41</v>
      </c>
      <c r="I56">
        <f t="shared" si="5"/>
        <v>-10.695389355706741</v>
      </c>
      <c r="J56" t="s">
        <v>29</v>
      </c>
      <c r="K56" t="s">
        <v>69</v>
      </c>
      <c r="L56" t="s">
        <v>45</v>
      </c>
      <c r="M56">
        <v>22</v>
      </c>
      <c r="N56" s="5" t="b">
        <f t="shared" si="6"/>
        <v>1</v>
      </c>
      <c r="O56">
        <f t="shared" si="7"/>
        <v>8030</v>
      </c>
      <c r="P56" s="3">
        <f t="shared" ca="1" si="8"/>
        <v>38007</v>
      </c>
      <c r="Q56" t="s">
        <v>180</v>
      </c>
      <c r="R56" t="s">
        <v>181</v>
      </c>
      <c r="S56" t="s">
        <v>51</v>
      </c>
      <c r="T56" t="str">
        <f t="shared" si="9"/>
        <v xml:space="preserve">Attack of the Clones </v>
      </c>
    </row>
    <row r="57" spans="1:20" x14ac:dyDescent="0.6">
      <c r="A57" t="s">
        <v>182</v>
      </c>
      <c r="B57">
        <v>196</v>
      </c>
      <c r="C57" s="5">
        <f t="shared" si="1"/>
        <v>77</v>
      </c>
      <c r="D57">
        <f t="shared" si="2"/>
        <v>1.96</v>
      </c>
      <c r="E57" t="s">
        <v>18</v>
      </c>
      <c r="F57" s="5" t="e">
        <f t="shared" si="3"/>
        <v>#VALUE!</v>
      </c>
      <c r="G57">
        <f t="shared" si="10"/>
        <v>0</v>
      </c>
      <c r="H57">
        <f t="shared" si="4"/>
        <v>60</v>
      </c>
      <c r="I57">
        <f t="shared" si="5"/>
        <v>-33.330065679835307</v>
      </c>
      <c r="J57" t="s">
        <v>29</v>
      </c>
      <c r="K57" t="s">
        <v>13</v>
      </c>
      <c r="L57" t="s">
        <v>13</v>
      </c>
      <c r="M57" t="s">
        <v>18</v>
      </c>
      <c r="N57" s="5" t="b">
        <f t="shared" si="6"/>
        <v>0</v>
      </c>
      <c r="O57" t="e">
        <f t="shared" si="7"/>
        <v>#VALUE!</v>
      </c>
      <c r="P57" s="3" t="e">
        <f t="shared" ca="1" si="8"/>
        <v>#VALUE!</v>
      </c>
      <c r="Q57" t="s">
        <v>183</v>
      </c>
      <c r="R57" t="s">
        <v>184</v>
      </c>
      <c r="S57" t="s">
        <v>126</v>
      </c>
      <c r="T57" t="str">
        <f t="shared" si="9"/>
        <v xml:space="preserve">Attack of the Clones </v>
      </c>
    </row>
    <row r="58" spans="1:20" x14ac:dyDescent="0.6">
      <c r="A58" t="s">
        <v>185</v>
      </c>
      <c r="B58">
        <v>185</v>
      </c>
      <c r="C58" s="5">
        <f t="shared" si="1"/>
        <v>72.5</v>
      </c>
      <c r="D58">
        <f t="shared" si="2"/>
        <v>1.85</v>
      </c>
      <c r="E58">
        <v>85</v>
      </c>
      <c r="F58" s="5">
        <f t="shared" si="3"/>
        <v>187.5</v>
      </c>
      <c r="G58">
        <f t="shared" si="10"/>
        <v>24.835646457268076</v>
      </c>
      <c r="H58">
        <f t="shared" si="4"/>
        <v>27</v>
      </c>
      <c r="I58">
        <f t="shared" si="5"/>
        <v>-8.494419222567231</v>
      </c>
      <c r="J58" t="s">
        <v>45</v>
      </c>
      <c r="K58" t="s">
        <v>95</v>
      </c>
      <c r="L58" t="s">
        <v>33</v>
      </c>
      <c r="M58" t="s">
        <v>18</v>
      </c>
      <c r="N58" s="5" t="b">
        <f t="shared" si="6"/>
        <v>0</v>
      </c>
      <c r="O58" t="e">
        <f t="shared" si="7"/>
        <v>#VALUE!</v>
      </c>
      <c r="P58" s="3" t="e">
        <f t="shared" ca="1" si="8"/>
        <v>#VALUE!</v>
      </c>
      <c r="Q58" t="s">
        <v>26</v>
      </c>
      <c r="R58" t="s">
        <v>15</v>
      </c>
      <c r="S58" t="s">
        <v>186</v>
      </c>
      <c r="T58" t="str">
        <f t="shared" si="9"/>
        <v>Attack of the Clones</v>
      </c>
    </row>
    <row r="59" spans="1:20" x14ac:dyDescent="0.6">
      <c r="A59" t="s">
        <v>187</v>
      </c>
      <c r="B59">
        <v>157</v>
      </c>
      <c r="C59" s="5">
        <f t="shared" si="1"/>
        <v>61.5</v>
      </c>
      <c r="D59">
        <f t="shared" si="2"/>
        <v>1.57</v>
      </c>
      <c r="E59" t="s">
        <v>18</v>
      </c>
      <c r="F59" s="5" t="e">
        <f t="shared" si="3"/>
        <v>#VALUE!</v>
      </c>
      <c r="G59">
        <f t="shared" si="10"/>
        <v>0</v>
      </c>
      <c r="H59">
        <f t="shared" si="4"/>
        <v>60</v>
      </c>
      <c r="I59">
        <f t="shared" si="5"/>
        <v>-33.330065679835307</v>
      </c>
      <c r="J59" t="s">
        <v>33</v>
      </c>
      <c r="K59" t="s">
        <v>34</v>
      </c>
      <c r="L59" t="s">
        <v>33</v>
      </c>
      <c r="M59" t="s">
        <v>18</v>
      </c>
      <c r="N59" s="5" t="b">
        <f t="shared" si="6"/>
        <v>0</v>
      </c>
      <c r="O59" t="e">
        <f t="shared" si="7"/>
        <v>#VALUE!</v>
      </c>
      <c r="P59" s="3" t="e">
        <f t="shared" ca="1" si="8"/>
        <v>#VALUE!</v>
      </c>
      <c r="Q59" t="s">
        <v>26</v>
      </c>
      <c r="R59" t="s">
        <v>15</v>
      </c>
      <c r="S59" t="s">
        <v>186</v>
      </c>
      <c r="T59" t="str">
        <f t="shared" si="9"/>
        <v>Attack of the Clones</v>
      </c>
    </row>
    <row r="60" spans="1:20" x14ac:dyDescent="0.6">
      <c r="A60" t="s">
        <v>188</v>
      </c>
      <c r="B60">
        <v>183</v>
      </c>
      <c r="C60" s="5">
        <f t="shared" si="1"/>
        <v>72</v>
      </c>
      <c r="D60">
        <f t="shared" si="2"/>
        <v>1.83</v>
      </c>
      <c r="E60" t="s">
        <v>18</v>
      </c>
      <c r="F60" s="5" t="e">
        <f t="shared" si="3"/>
        <v>#VALUE!</v>
      </c>
      <c r="G60">
        <f t="shared" si="10"/>
        <v>0</v>
      </c>
      <c r="H60">
        <f t="shared" si="4"/>
        <v>60</v>
      </c>
      <c r="I60">
        <f t="shared" si="5"/>
        <v>-33.330065679835307</v>
      </c>
      <c r="J60" t="s">
        <v>33</v>
      </c>
      <c r="K60" t="s">
        <v>12</v>
      </c>
      <c r="L60" t="s">
        <v>13</v>
      </c>
      <c r="M60">
        <v>82</v>
      </c>
      <c r="N60" s="5" t="b">
        <f t="shared" si="6"/>
        <v>1</v>
      </c>
      <c r="O60">
        <f t="shared" si="7"/>
        <v>29930</v>
      </c>
      <c r="P60" s="3">
        <f t="shared" ca="1" si="8"/>
        <v>16107</v>
      </c>
      <c r="Q60" t="s">
        <v>14</v>
      </c>
      <c r="R60" t="s">
        <v>15</v>
      </c>
      <c r="S60" t="s">
        <v>186</v>
      </c>
      <c r="T60" t="str">
        <f t="shared" si="9"/>
        <v>Attack of the Clones</v>
      </c>
    </row>
    <row r="61" spans="1:20" x14ac:dyDescent="0.6">
      <c r="A61" t="s">
        <v>189</v>
      </c>
      <c r="B61">
        <v>183</v>
      </c>
      <c r="C61" s="5">
        <f t="shared" si="1"/>
        <v>72</v>
      </c>
      <c r="D61">
        <f t="shared" si="2"/>
        <v>1.83</v>
      </c>
      <c r="E61">
        <v>80</v>
      </c>
      <c r="F61" s="5">
        <f t="shared" si="3"/>
        <v>176.25</v>
      </c>
      <c r="G61">
        <f t="shared" si="10"/>
        <v>23.888440980620498</v>
      </c>
      <c r="H61">
        <f t="shared" si="4"/>
        <v>34</v>
      </c>
      <c r="I61">
        <f t="shared" si="5"/>
        <v>-9.4416246992148096</v>
      </c>
      <c r="J61" t="s">
        <v>29</v>
      </c>
      <c r="K61" t="s">
        <v>64</v>
      </c>
      <c r="L61" t="s">
        <v>20</v>
      </c>
      <c r="M61" t="s">
        <v>18</v>
      </c>
      <c r="N61" s="5" t="b">
        <f t="shared" si="6"/>
        <v>0</v>
      </c>
      <c r="O61" t="e">
        <f t="shared" si="7"/>
        <v>#VALUE!</v>
      </c>
      <c r="P61" s="3" t="e">
        <f t="shared" ca="1" si="8"/>
        <v>#VALUE!</v>
      </c>
      <c r="Q61" t="s">
        <v>190</v>
      </c>
      <c r="R61" t="s">
        <v>191</v>
      </c>
      <c r="S61" t="s">
        <v>192</v>
      </c>
      <c r="T61" t="str">
        <f t="shared" si="9"/>
        <v xml:space="preserve">Attack of the Clones </v>
      </c>
    </row>
    <row r="62" spans="1:20" x14ac:dyDescent="0.6">
      <c r="A62" t="s">
        <v>193</v>
      </c>
      <c r="B62">
        <v>170</v>
      </c>
      <c r="C62" s="5">
        <f t="shared" si="1"/>
        <v>66.5</v>
      </c>
      <c r="D62">
        <f t="shared" si="2"/>
        <v>1.7</v>
      </c>
      <c r="E62">
        <v>56.2</v>
      </c>
      <c r="F62" s="5">
        <f t="shared" si="3"/>
        <v>124</v>
      </c>
      <c r="G62">
        <f t="shared" si="10"/>
        <v>19.446366782006923</v>
      </c>
      <c r="H62">
        <f t="shared" si="4"/>
        <v>48</v>
      </c>
      <c r="I62">
        <f t="shared" si="5"/>
        <v>-13.883698897828385</v>
      </c>
      <c r="J62" t="s">
        <v>45</v>
      </c>
      <c r="K62" t="s">
        <v>20</v>
      </c>
      <c r="L62" t="s">
        <v>13</v>
      </c>
      <c r="M62">
        <v>58</v>
      </c>
      <c r="N62" s="5" t="b">
        <f t="shared" si="6"/>
        <v>1</v>
      </c>
      <c r="O62">
        <f t="shared" si="7"/>
        <v>21170</v>
      </c>
      <c r="P62" s="3">
        <f t="shared" ca="1" si="8"/>
        <v>24867</v>
      </c>
      <c r="Q62" t="s">
        <v>194</v>
      </c>
      <c r="R62" t="s">
        <v>195</v>
      </c>
      <c r="S62" t="s">
        <v>192</v>
      </c>
      <c r="T62" t="str">
        <f t="shared" si="9"/>
        <v xml:space="preserve">Attack of the Clones </v>
      </c>
    </row>
    <row r="63" spans="1:20" x14ac:dyDescent="0.6">
      <c r="A63" t="s">
        <v>196</v>
      </c>
      <c r="B63">
        <v>166</v>
      </c>
      <c r="C63" s="5">
        <f t="shared" si="1"/>
        <v>65</v>
      </c>
      <c r="D63">
        <f t="shared" si="2"/>
        <v>1.66</v>
      </c>
      <c r="E63">
        <v>50</v>
      </c>
      <c r="F63" s="5">
        <f t="shared" si="3"/>
        <v>110.25</v>
      </c>
      <c r="G63">
        <f t="shared" si="10"/>
        <v>18.144868631151112</v>
      </c>
      <c r="H63">
        <f t="shared" si="4"/>
        <v>50</v>
      </c>
      <c r="I63">
        <f t="shared" si="5"/>
        <v>-15.185197048684195</v>
      </c>
      <c r="J63" t="s">
        <v>45</v>
      </c>
      <c r="K63" t="s">
        <v>20</v>
      </c>
      <c r="L63" t="s">
        <v>13</v>
      </c>
      <c r="M63">
        <v>40</v>
      </c>
      <c r="N63" s="5" t="b">
        <f t="shared" si="6"/>
        <v>1</v>
      </c>
      <c r="O63">
        <f t="shared" si="7"/>
        <v>14600</v>
      </c>
      <c r="P63" s="3">
        <f t="shared" ca="1" si="8"/>
        <v>31437</v>
      </c>
      <c r="Q63" t="s">
        <v>194</v>
      </c>
      <c r="R63" t="s">
        <v>195</v>
      </c>
      <c r="S63" t="s">
        <v>186</v>
      </c>
      <c r="T63" t="str">
        <f t="shared" si="9"/>
        <v>Attack of the Clones</v>
      </c>
    </row>
    <row r="64" spans="1:20" x14ac:dyDescent="0.6">
      <c r="A64" t="s">
        <v>197</v>
      </c>
      <c r="B64">
        <v>165</v>
      </c>
      <c r="C64" s="5">
        <f t="shared" si="1"/>
        <v>64.5</v>
      </c>
      <c r="D64">
        <f t="shared" si="2"/>
        <v>1.65</v>
      </c>
      <c r="E64" t="s">
        <v>18</v>
      </c>
      <c r="F64" s="5" t="e">
        <f t="shared" si="3"/>
        <v>#VALUE!</v>
      </c>
      <c r="G64">
        <f t="shared" si="10"/>
        <v>0</v>
      </c>
      <c r="H64">
        <f t="shared" si="4"/>
        <v>60</v>
      </c>
      <c r="I64">
        <f t="shared" si="5"/>
        <v>-33.330065679835307</v>
      </c>
      <c r="J64" t="s">
        <v>33</v>
      </c>
      <c r="K64" t="s">
        <v>34</v>
      </c>
      <c r="L64" t="s">
        <v>33</v>
      </c>
      <c r="M64" t="s">
        <v>18</v>
      </c>
      <c r="N64" s="5" t="b">
        <f t="shared" si="6"/>
        <v>0</v>
      </c>
      <c r="O64" t="e">
        <f t="shared" si="7"/>
        <v>#VALUE!</v>
      </c>
      <c r="P64" s="3" t="e">
        <f t="shared" ca="1" si="8"/>
        <v>#VALUE!</v>
      </c>
      <c r="Q64" t="s">
        <v>26</v>
      </c>
      <c r="R64" t="s">
        <v>15</v>
      </c>
      <c r="S64" t="s">
        <v>186</v>
      </c>
      <c r="T64" t="str">
        <f t="shared" si="9"/>
        <v>Attack of the Clones</v>
      </c>
    </row>
    <row r="65" spans="1:20" x14ac:dyDescent="0.6">
      <c r="A65" t="s">
        <v>198</v>
      </c>
      <c r="B65">
        <v>193</v>
      </c>
      <c r="C65" s="5">
        <f t="shared" si="1"/>
        <v>75.5</v>
      </c>
      <c r="D65">
        <f t="shared" si="2"/>
        <v>1.93</v>
      </c>
      <c r="E65">
        <v>80</v>
      </c>
      <c r="F65" s="5">
        <f t="shared" si="3"/>
        <v>176.25</v>
      </c>
      <c r="G65">
        <f t="shared" si="10"/>
        <v>21.477086633198208</v>
      </c>
      <c r="H65">
        <f t="shared" si="4"/>
        <v>45</v>
      </c>
      <c r="I65">
        <f t="shared" si="5"/>
        <v>-11.852979046637099</v>
      </c>
      <c r="J65" t="s">
        <v>30</v>
      </c>
      <c r="K65" t="s">
        <v>12</v>
      </c>
      <c r="L65" t="s">
        <v>33</v>
      </c>
      <c r="M65">
        <v>102</v>
      </c>
      <c r="N65" s="5" t="b">
        <f t="shared" si="6"/>
        <v>1</v>
      </c>
      <c r="O65">
        <f t="shared" si="7"/>
        <v>37230</v>
      </c>
      <c r="P65" s="3">
        <f t="shared" ca="1" si="8"/>
        <v>8807</v>
      </c>
      <c r="Q65" t="s">
        <v>199</v>
      </c>
      <c r="R65" t="s">
        <v>15</v>
      </c>
      <c r="S65" t="s">
        <v>192</v>
      </c>
      <c r="T65" t="str">
        <f t="shared" si="9"/>
        <v xml:space="preserve">Attack of the Clones </v>
      </c>
    </row>
    <row r="66" spans="1:20" x14ac:dyDescent="0.6">
      <c r="A66" t="s">
        <v>200</v>
      </c>
      <c r="B66">
        <v>191</v>
      </c>
      <c r="C66" s="5">
        <f t="shared" si="1"/>
        <v>75</v>
      </c>
      <c r="D66">
        <f t="shared" si="2"/>
        <v>1.91</v>
      </c>
      <c r="E66" t="s">
        <v>18</v>
      </c>
      <c r="F66" s="5" t="e">
        <f t="shared" si="3"/>
        <v>#VALUE!</v>
      </c>
      <c r="G66">
        <f t="shared" ref="G66:G88" si="11">IF(OR(ISNUMBER(D66)=FALSE, ISNUMBER(E66)=FALSE),0,E66/(D66^2))</f>
        <v>0</v>
      </c>
      <c r="H66">
        <f t="shared" si="4"/>
        <v>60</v>
      </c>
      <c r="I66">
        <f t="shared" si="5"/>
        <v>-33.330065679835307</v>
      </c>
      <c r="J66" t="s">
        <v>45</v>
      </c>
      <c r="K66" t="s">
        <v>201</v>
      </c>
      <c r="L66" t="s">
        <v>33</v>
      </c>
      <c r="M66">
        <v>67</v>
      </c>
      <c r="N66" s="5" t="b">
        <f t="shared" si="6"/>
        <v>1</v>
      </c>
      <c r="O66">
        <f t="shared" si="7"/>
        <v>24455</v>
      </c>
      <c r="P66" s="3">
        <f t="shared" ca="1" si="8"/>
        <v>21582</v>
      </c>
      <c r="Q66" t="s">
        <v>35</v>
      </c>
      <c r="R66" t="s">
        <v>15</v>
      </c>
      <c r="S66" t="s">
        <v>192</v>
      </c>
      <c r="T66" t="str">
        <f t="shared" si="9"/>
        <v xml:space="preserve">Attack of the Clones </v>
      </c>
    </row>
    <row r="67" spans="1:20" x14ac:dyDescent="0.6">
      <c r="A67" t="s">
        <v>202</v>
      </c>
      <c r="B67">
        <v>183</v>
      </c>
      <c r="C67" s="5">
        <f t="shared" ref="C67:C89" si="12">FLOOR(CONVERT(B67,"cm","in"), 0.5)</f>
        <v>72</v>
      </c>
      <c r="D67">
        <f t="shared" ref="D67:D88" si="13">SUM(B67 / 100)</f>
        <v>1.83</v>
      </c>
      <c r="E67">
        <v>79</v>
      </c>
      <c r="F67" s="5">
        <f t="shared" ref="F67:F89" si="14">ROUND(CONVERT(E67,"kg","lbm")/0.25,0)*0.25</f>
        <v>174.25</v>
      </c>
      <c r="G67">
        <f t="shared" si="11"/>
        <v>23.589835468362743</v>
      </c>
      <c r="H67">
        <f t="shared" ref="H67:H88" si="15">RANK(G67,$G$2:$G$88,0 )</f>
        <v>37</v>
      </c>
      <c r="I67">
        <f t="shared" ref="I67:I88" si="16">SUM(G67-$G$5)</f>
        <v>-9.7402302114725643</v>
      </c>
      <c r="J67" t="s">
        <v>45</v>
      </c>
      <c r="K67" t="s">
        <v>201</v>
      </c>
      <c r="L67" t="s">
        <v>33</v>
      </c>
      <c r="M67">
        <v>66</v>
      </c>
      <c r="N67" s="5" t="b">
        <f t="shared" ref="N67:N89" si="17">ISNUMBER($M67)</f>
        <v>1</v>
      </c>
      <c r="O67">
        <f t="shared" ref="O67:O88" si="18">SUM($M67 * 365)</f>
        <v>24090</v>
      </c>
      <c r="P67" s="3">
        <f t="shared" ref="P67:P88" ca="1" si="19">TODAY() - $O67</f>
        <v>21947</v>
      </c>
      <c r="Q67" t="s">
        <v>203</v>
      </c>
      <c r="R67" t="s">
        <v>15</v>
      </c>
      <c r="S67" t="s">
        <v>186</v>
      </c>
      <c r="T67" t="str">
        <f t="shared" ref="T67:T89" si="20">LEFT(S67,FIND(",", S67 &amp; ",") -1)</f>
        <v>Attack of the Clones</v>
      </c>
    </row>
    <row r="68" spans="1:20" x14ac:dyDescent="0.6">
      <c r="A68" t="s">
        <v>204</v>
      </c>
      <c r="B68">
        <v>168</v>
      </c>
      <c r="C68" s="5">
        <f t="shared" si="12"/>
        <v>66</v>
      </c>
      <c r="D68">
        <f t="shared" si="13"/>
        <v>1.68</v>
      </c>
      <c r="E68">
        <v>55</v>
      </c>
      <c r="F68" s="5">
        <f t="shared" si="14"/>
        <v>121.25</v>
      </c>
      <c r="G68">
        <f t="shared" si="11"/>
        <v>19.486961451247168</v>
      </c>
      <c r="H68">
        <f t="shared" si="15"/>
        <v>47</v>
      </c>
      <c r="I68">
        <f t="shared" si="16"/>
        <v>-13.843104228588139</v>
      </c>
      <c r="J68" t="s">
        <v>205</v>
      </c>
      <c r="K68" t="s">
        <v>206</v>
      </c>
      <c r="L68" t="s">
        <v>20</v>
      </c>
      <c r="M68" t="s">
        <v>18</v>
      </c>
      <c r="N68" s="5" t="b">
        <f t="shared" si="17"/>
        <v>0</v>
      </c>
      <c r="O68" t="e">
        <f t="shared" si="18"/>
        <v>#VALUE!</v>
      </c>
      <c r="P68" s="3" t="e">
        <f t="shared" ca="1" si="19"/>
        <v>#VALUE!</v>
      </c>
      <c r="Q68" t="s">
        <v>207</v>
      </c>
      <c r="R68" t="s">
        <v>208</v>
      </c>
      <c r="S68" t="s">
        <v>186</v>
      </c>
      <c r="T68" t="str">
        <f t="shared" si="20"/>
        <v>Attack of the Clones</v>
      </c>
    </row>
    <row r="69" spans="1:20" x14ac:dyDescent="0.6">
      <c r="A69" t="s">
        <v>209</v>
      </c>
      <c r="B69">
        <v>198</v>
      </c>
      <c r="C69" s="5">
        <f t="shared" si="12"/>
        <v>77.5</v>
      </c>
      <c r="D69">
        <f t="shared" si="13"/>
        <v>1.98</v>
      </c>
      <c r="E69">
        <v>102</v>
      </c>
      <c r="F69" s="5">
        <f t="shared" si="14"/>
        <v>224.75</v>
      </c>
      <c r="G69">
        <f t="shared" si="11"/>
        <v>26.017753290480563</v>
      </c>
      <c r="H69">
        <f t="shared" si="15"/>
        <v>19</v>
      </c>
      <c r="I69">
        <f t="shared" si="16"/>
        <v>-7.3123123893547444</v>
      </c>
      <c r="J69" t="s">
        <v>29</v>
      </c>
      <c r="K69" t="s">
        <v>33</v>
      </c>
      <c r="L69" t="s">
        <v>20</v>
      </c>
      <c r="M69" t="s">
        <v>18</v>
      </c>
      <c r="N69" s="5" t="b">
        <f t="shared" si="17"/>
        <v>0</v>
      </c>
      <c r="O69" t="e">
        <f t="shared" si="18"/>
        <v>#VALUE!</v>
      </c>
      <c r="P69" s="3" t="e">
        <f t="shared" ca="1" si="19"/>
        <v>#VALUE!</v>
      </c>
      <c r="Q69" t="s">
        <v>210</v>
      </c>
      <c r="R69" t="s">
        <v>211</v>
      </c>
      <c r="S69" t="s">
        <v>186</v>
      </c>
      <c r="T69" t="str">
        <f t="shared" si="20"/>
        <v>Attack of the Clones</v>
      </c>
    </row>
    <row r="70" spans="1:20" x14ac:dyDescent="0.6">
      <c r="A70" t="s">
        <v>212</v>
      </c>
      <c r="B70">
        <v>229</v>
      </c>
      <c r="C70" s="5">
        <f t="shared" si="12"/>
        <v>90</v>
      </c>
      <c r="D70">
        <f t="shared" si="13"/>
        <v>2.29</v>
      </c>
      <c r="E70">
        <v>88</v>
      </c>
      <c r="F70" s="5">
        <f t="shared" si="14"/>
        <v>194</v>
      </c>
      <c r="G70">
        <f t="shared" si="11"/>
        <v>16.780763143342039</v>
      </c>
      <c r="H70">
        <f t="shared" si="15"/>
        <v>54</v>
      </c>
      <c r="I70">
        <f t="shared" si="16"/>
        <v>-16.549302536493268</v>
      </c>
      <c r="J70" t="s">
        <v>29</v>
      </c>
      <c r="K70" t="s">
        <v>82</v>
      </c>
      <c r="L70" t="s">
        <v>45</v>
      </c>
      <c r="M70" t="s">
        <v>18</v>
      </c>
      <c r="N70" s="5" t="b">
        <f t="shared" si="17"/>
        <v>0</v>
      </c>
      <c r="O70" t="e">
        <f t="shared" si="18"/>
        <v>#VALUE!</v>
      </c>
      <c r="P70" s="3" t="e">
        <f t="shared" ca="1" si="19"/>
        <v>#VALUE!</v>
      </c>
      <c r="Q70" t="s">
        <v>86</v>
      </c>
      <c r="R70" t="s">
        <v>213</v>
      </c>
      <c r="S70" t="s">
        <v>186</v>
      </c>
      <c r="T70" t="str">
        <f t="shared" si="20"/>
        <v>Attack of the Clones</v>
      </c>
    </row>
    <row r="71" spans="1:20" x14ac:dyDescent="0.6">
      <c r="A71" t="s">
        <v>214</v>
      </c>
      <c r="B71">
        <v>213</v>
      </c>
      <c r="C71" s="5">
        <f t="shared" si="12"/>
        <v>83.5</v>
      </c>
      <c r="D71">
        <f t="shared" si="13"/>
        <v>2.13</v>
      </c>
      <c r="E71" t="s">
        <v>18</v>
      </c>
      <c r="F71" s="5" t="e">
        <f t="shared" si="14"/>
        <v>#VALUE!</v>
      </c>
      <c r="G71">
        <f t="shared" si="11"/>
        <v>0</v>
      </c>
      <c r="H71">
        <f t="shared" si="15"/>
        <v>60</v>
      </c>
      <c r="I71">
        <f t="shared" si="16"/>
        <v>-33.330065679835307</v>
      </c>
      <c r="J71" t="s">
        <v>29</v>
      </c>
      <c r="K71" t="s">
        <v>82</v>
      </c>
      <c r="L71" t="s">
        <v>45</v>
      </c>
      <c r="M71" t="s">
        <v>18</v>
      </c>
      <c r="N71" s="5" t="b">
        <f t="shared" si="17"/>
        <v>0</v>
      </c>
      <c r="O71" t="e">
        <f t="shared" si="18"/>
        <v>#VALUE!</v>
      </c>
      <c r="P71" s="3" t="e">
        <f t="shared" ca="1" si="19"/>
        <v>#VALUE!</v>
      </c>
      <c r="Q71" t="s">
        <v>86</v>
      </c>
      <c r="R71" t="s">
        <v>213</v>
      </c>
      <c r="S71" t="s">
        <v>186</v>
      </c>
      <c r="T71" t="str">
        <f t="shared" si="20"/>
        <v>Attack of the Clones</v>
      </c>
    </row>
    <row r="72" spans="1:20" x14ac:dyDescent="0.6">
      <c r="A72" t="s">
        <v>215</v>
      </c>
      <c r="B72">
        <v>167</v>
      </c>
      <c r="C72" s="5">
        <f t="shared" si="12"/>
        <v>65.5</v>
      </c>
      <c r="D72">
        <f t="shared" si="13"/>
        <v>1.67</v>
      </c>
      <c r="E72" t="s">
        <v>18</v>
      </c>
      <c r="F72" s="5" t="e">
        <f t="shared" si="14"/>
        <v>#VALUE!</v>
      </c>
      <c r="G72">
        <f t="shared" si="11"/>
        <v>0</v>
      </c>
      <c r="H72">
        <f t="shared" si="15"/>
        <v>60</v>
      </c>
      <c r="I72">
        <f t="shared" si="16"/>
        <v>-33.330065679835307</v>
      </c>
      <c r="J72" t="s">
        <v>30</v>
      </c>
      <c r="K72" t="s">
        <v>12</v>
      </c>
      <c r="L72" t="s">
        <v>13</v>
      </c>
      <c r="M72" t="s">
        <v>18</v>
      </c>
      <c r="N72" s="5" t="b">
        <f t="shared" si="17"/>
        <v>0</v>
      </c>
      <c r="O72" t="e">
        <f t="shared" si="18"/>
        <v>#VALUE!</v>
      </c>
      <c r="P72" s="3" t="e">
        <f t="shared" ca="1" si="19"/>
        <v>#VALUE!</v>
      </c>
      <c r="Q72" t="s">
        <v>123</v>
      </c>
      <c r="R72" t="s">
        <v>15</v>
      </c>
      <c r="S72" t="s">
        <v>186</v>
      </c>
      <c r="T72" t="str">
        <f t="shared" si="20"/>
        <v>Attack of the Clones</v>
      </c>
    </row>
    <row r="73" spans="1:20" x14ac:dyDescent="0.6">
      <c r="A73" t="s">
        <v>216</v>
      </c>
      <c r="B73">
        <v>79</v>
      </c>
      <c r="C73" s="5">
        <f t="shared" si="12"/>
        <v>31</v>
      </c>
      <c r="D73">
        <f t="shared" si="13"/>
        <v>0.79</v>
      </c>
      <c r="E73">
        <v>15</v>
      </c>
      <c r="F73" s="5">
        <f t="shared" si="14"/>
        <v>33</v>
      </c>
      <c r="G73">
        <f t="shared" si="11"/>
        <v>24.034609838166958</v>
      </c>
      <c r="H73">
        <f t="shared" si="15"/>
        <v>32</v>
      </c>
      <c r="I73">
        <f t="shared" si="16"/>
        <v>-9.2954558416683497</v>
      </c>
      <c r="J73" t="s">
        <v>29</v>
      </c>
      <c r="K73" t="s">
        <v>217</v>
      </c>
      <c r="L73" t="s">
        <v>57</v>
      </c>
      <c r="M73" t="s">
        <v>18</v>
      </c>
      <c r="N73" s="5" t="b">
        <f t="shared" si="17"/>
        <v>0</v>
      </c>
      <c r="O73" t="e">
        <f t="shared" si="18"/>
        <v>#VALUE!</v>
      </c>
      <c r="P73" s="3" t="e">
        <f t="shared" ca="1" si="19"/>
        <v>#VALUE!</v>
      </c>
      <c r="Q73" t="s">
        <v>218</v>
      </c>
      <c r="R73" t="s">
        <v>219</v>
      </c>
      <c r="S73" t="s">
        <v>117</v>
      </c>
      <c r="T73" t="str">
        <f t="shared" si="20"/>
        <v>The Phantom Menace</v>
      </c>
    </row>
    <row r="74" spans="1:20" x14ac:dyDescent="0.6">
      <c r="A74" t="s">
        <v>220</v>
      </c>
      <c r="B74">
        <v>96</v>
      </c>
      <c r="C74" s="5">
        <f t="shared" si="12"/>
        <v>37.5</v>
      </c>
      <c r="D74">
        <f t="shared" si="13"/>
        <v>0.96</v>
      </c>
      <c r="E74" t="s">
        <v>18</v>
      </c>
      <c r="F74" s="5" t="e">
        <f t="shared" si="14"/>
        <v>#VALUE!</v>
      </c>
      <c r="G74">
        <f t="shared" si="11"/>
        <v>0</v>
      </c>
      <c r="H74">
        <f t="shared" si="15"/>
        <v>60</v>
      </c>
      <c r="I74">
        <f t="shared" si="16"/>
        <v>-33.330065679835307</v>
      </c>
      <c r="J74" t="s">
        <v>29</v>
      </c>
      <c r="K74" t="s">
        <v>221</v>
      </c>
      <c r="L74" t="s">
        <v>222</v>
      </c>
      <c r="M74" t="s">
        <v>18</v>
      </c>
      <c r="N74" s="5" t="b">
        <f t="shared" si="17"/>
        <v>0</v>
      </c>
      <c r="O74" t="e">
        <f t="shared" si="18"/>
        <v>#VALUE!</v>
      </c>
      <c r="P74" s="3" t="e">
        <f t="shared" ca="1" si="19"/>
        <v>#VALUE!</v>
      </c>
      <c r="Q74" t="s">
        <v>18</v>
      </c>
      <c r="R74" t="s">
        <v>18</v>
      </c>
      <c r="S74" t="s">
        <v>192</v>
      </c>
      <c r="T74" t="str">
        <f t="shared" si="20"/>
        <v xml:space="preserve">Attack of the Clones </v>
      </c>
    </row>
    <row r="75" spans="1:20" x14ac:dyDescent="0.6">
      <c r="A75" t="s">
        <v>223</v>
      </c>
      <c r="B75">
        <v>193</v>
      </c>
      <c r="C75" s="5">
        <f t="shared" si="12"/>
        <v>75.5</v>
      </c>
      <c r="D75">
        <f t="shared" si="13"/>
        <v>1.93</v>
      </c>
      <c r="E75">
        <v>48</v>
      </c>
      <c r="F75" s="5">
        <f t="shared" si="14"/>
        <v>105.75</v>
      </c>
      <c r="G75">
        <f t="shared" si="11"/>
        <v>12.886251979918924</v>
      </c>
      <c r="H75">
        <f t="shared" si="15"/>
        <v>59</v>
      </c>
      <c r="I75">
        <f t="shared" si="16"/>
        <v>-20.443813699916383</v>
      </c>
      <c r="J75" t="s">
        <v>29</v>
      </c>
      <c r="K75" t="s">
        <v>224</v>
      </c>
      <c r="L75" t="s">
        <v>57</v>
      </c>
      <c r="M75" t="s">
        <v>18</v>
      </c>
      <c r="N75" s="5" t="b">
        <f t="shared" si="17"/>
        <v>0</v>
      </c>
      <c r="O75" t="e">
        <f t="shared" si="18"/>
        <v>#VALUE!</v>
      </c>
      <c r="P75" s="3" t="e">
        <f t="shared" ca="1" si="19"/>
        <v>#VALUE!</v>
      </c>
      <c r="Q75" t="s">
        <v>225</v>
      </c>
      <c r="R75" t="s">
        <v>226</v>
      </c>
      <c r="S75" t="s">
        <v>186</v>
      </c>
      <c r="T75" t="str">
        <f t="shared" si="20"/>
        <v>Attack of the Clones</v>
      </c>
    </row>
    <row r="76" spans="1:20" x14ac:dyDescent="0.6">
      <c r="A76" t="s">
        <v>227</v>
      </c>
      <c r="B76">
        <v>191</v>
      </c>
      <c r="C76" s="5">
        <f t="shared" si="12"/>
        <v>75</v>
      </c>
      <c r="D76">
        <f t="shared" si="13"/>
        <v>1.91</v>
      </c>
      <c r="E76" t="s">
        <v>18</v>
      </c>
      <c r="F76" s="5" t="e">
        <f t="shared" si="14"/>
        <v>#VALUE!</v>
      </c>
      <c r="G76">
        <f t="shared" si="11"/>
        <v>0</v>
      </c>
      <c r="H76">
        <f t="shared" si="15"/>
        <v>60</v>
      </c>
      <c r="I76">
        <f t="shared" si="16"/>
        <v>-33.330065679835307</v>
      </c>
      <c r="J76" t="s">
        <v>29</v>
      </c>
      <c r="K76" t="s">
        <v>82</v>
      </c>
      <c r="L76" t="s">
        <v>19</v>
      </c>
      <c r="M76" t="s">
        <v>18</v>
      </c>
      <c r="N76" s="5" t="b">
        <f t="shared" si="17"/>
        <v>0</v>
      </c>
      <c r="O76" t="e">
        <f t="shared" si="18"/>
        <v>#VALUE!</v>
      </c>
      <c r="P76" s="3" t="e">
        <f t="shared" ca="1" si="19"/>
        <v>#VALUE!</v>
      </c>
      <c r="Q76" t="s">
        <v>228</v>
      </c>
      <c r="R76" t="s">
        <v>229</v>
      </c>
      <c r="S76" t="s">
        <v>186</v>
      </c>
      <c r="T76" t="str">
        <f t="shared" si="20"/>
        <v>Attack of the Clones</v>
      </c>
    </row>
    <row r="77" spans="1:20" x14ac:dyDescent="0.6">
      <c r="A77" t="s">
        <v>230</v>
      </c>
      <c r="B77">
        <v>178</v>
      </c>
      <c r="C77" s="5">
        <f t="shared" si="12"/>
        <v>70</v>
      </c>
      <c r="D77">
        <f t="shared" si="13"/>
        <v>1.78</v>
      </c>
      <c r="E77">
        <v>57</v>
      </c>
      <c r="F77" s="5">
        <f t="shared" si="14"/>
        <v>125.75</v>
      </c>
      <c r="G77">
        <f t="shared" si="11"/>
        <v>17.99015275849009</v>
      </c>
      <c r="H77">
        <f t="shared" si="15"/>
        <v>51</v>
      </c>
      <c r="I77">
        <f t="shared" si="16"/>
        <v>-15.339912921345217</v>
      </c>
      <c r="J77" t="s">
        <v>29</v>
      </c>
      <c r="K77" t="s">
        <v>231</v>
      </c>
      <c r="L77" t="s">
        <v>45</v>
      </c>
      <c r="M77" t="s">
        <v>18</v>
      </c>
      <c r="N77" s="5" t="b">
        <f t="shared" si="17"/>
        <v>0</v>
      </c>
      <c r="O77" t="e">
        <f t="shared" si="18"/>
        <v>#VALUE!</v>
      </c>
      <c r="P77" s="3" t="e">
        <f t="shared" ca="1" si="19"/>
        <v>#VALUE!</v>
      </c>
      <c r="Q77" t="s">
        <v>232</v>
      </c>
      <c r="R77" t="s">
        <v>233</v>
      </c>
      <c r="S77" t="s">
        <v>192</v>
      </c>
      <c r="T77" t="str">
        <f t="shared" si="20"/>
        <v xml:space="preserve">Attack of the Clones </v>
      </c>
    </row>
    <row r="78" spans="1:20" x14ac:dyDescent="0.6">
      <c r="A78" t="s">
        <v>234</v>
      </c>
      <c r="B78">
        <v>216</v>
      </c>
      <c r="C78" s="5">
        <f t="shared" si="12"/>
        <v>85</v>
      </c>
      <c r="D78">
        <f t="shared" si="13"/>
        <v>2.16</v>
      </c>
      <c r="E78">
        <v>159</v>
      </c>
      <c r="F78" s="5">
        <f t="shared" si="14"/>
        <v>350.5</v>
      </c>
      <c r="G78">
        <f t="shared" si="11"/>
        <v>34.079218106995881</v>
      </c>
      <c r="H78">
        <f t="shared" si="15"/>
        <v>7</v>
      </c>
      <c r="I78">
        <f t="shared" si="16"/>
        <v>0.74915242716057406</v>
      </c>
      <c r="J78" t="s">
        <v>29</v>
      </c>
      <c r="K78" t="s">
        <v>235</v>
      </c>
      <c r="L78" t="s">
        <v>236</v>
      </c>
      <c r="M78" t="s">
        <v>18</v>
      </c>
      <c r="N78" s="5" t="b">
        <f t="shared" si="17"/>
        <v>0</v>
      </c>
      <c r="O78" t="e">
        <f t="shared" si="18"/>
        <v>#VALUE!</v>
      </c>
      <c r="P78" s="3" t="e">
        <f t="shared" ca="1" si="19"/>
        <v>#VALUE!</v>
      </c>
      <c r="Q78" t="s">
        <v>237</v>
      </c>
      <c r="R78" t="s">
        <v>238</v>
      </c>
      <c r="S78" t="s">
        <v>239</v>
      </c>
      <c r="T78" t="str">
        <f t="shared" si="20"/>
        <v>Revenge of the Sith</v>
      </c>
    </row>
    <row r="79" spans="1:20" x14ac:dyDescent="0.6">
      <c r="A79" t="s">
        <v>240</v>
      </c>
      <c r="B79">
        <v>234</v>
      </c>
      <c r="C79" s="5">
        <f t="shared" si="12"/>
        <v>92</v>
      </c>
      <c r="D79">
        <f t="shared" si="13"/>
        <v>2.34</v>
      </c>
      <c r="E79">
        <v>136</v>
      </c>
      <c r="F79" s="5">
        <f t="shared" si="14"/>
        <v>299.75</v>
      </c>
      <c r="G79">
        <f t="shared" si="11"/>
        <v>24.837460734896638</v>
      </c>
      <c r="H79">
        <f t="shared" si="15"/>
        <v>26</v>
      </c>
      <c r="I79">
        <f t="shared" si="16"/>
        <v>-8.4926049449386696</v>
      </c>
      <c r="J79" t="s">
        <v>33</v>
      </c>
      <c r="K79" t="s">
        <v>33</v>
      </c>
      <c r="L79" t="s">
        <v>13</v>
      </c>
      <c r="M79" t="s">
        <v>18</v>
      </c>
      <c r="N79" s="5" t="b">
        <f t="shared" si="17"/>
        <v>0</v>
      </c>
      <c r="O79" t="e">
        <f t="shared" si="18"/>
        <v>#VALUE!</v>
      </c>
      <c r="P79" s="3" t="e">
        <f t="shared" ca="1" si="19"/>
        <v>#VALUE!</v>
      </c>
      <c r="Q79" t="s">
        <v>58</v>
      </c>
      <c r="R79" t="s">
        <v>59</v>
      </c>
      <c r="S79" t="s">
        <v>239</v>
      </c>
      <c r="T79" t="str">
        <f t="shared" si="20"/>
        <v>Revenge of the Sith</v>
      </c>
    </row>
    <row r="80" spans="1:20" x14ac:dyDescent="0.6">
      <c r="A80" t="s">
        <v>241</v>
      </c>
      <c r="B80">
        <v>188</v>
      </c>
      <c r="C80" s="5">
        <f t="shared" si="12"/>
        <v>74</v>
      </c>
      <c r="D80">
        <f t="shared" si="13"/>
        <v>1.88</v>
      </c>
      <c r="E80">
        <v>79</v>
      </c>
      <c r="F80" s="5">
        <f t="shared" si="14"/>
        <v>174.25</v>
      </c>
      <c r="G80">
        <f t="shared" si="11"/>
        <v>22.351742870076958</v>
      </c>
      <c r="H80">
        <f t="shared" si="15"/>
        <v>42</v>
      </c>
      <c r="I80">
        <f t="shared" si="16"/>
        <v>-10.97832280975835</v>
      </c>
      <c r="J80" t="s">
        <v>33</v>
      </c>
      <c r="K80" t="s">
        <v>34</v>
      </c>
      <c r="L80" t="s">
        <v>33</v>
      </c>
      <c r="M80" t="s">
        <v>18</v>
      </c>
      <c r="N80" s="5" t="b">
        <f t="shared" si="17"/>
        <v>0</v>
      </c>
      <c r="O80" t="e">
        <f t="shared" si="18"/>
        <v>#VALUE!</v>
      </c>
      <c r="P80" s="3" t="e">
        <f t="shared" ca="1" si="19"/>
        <v>#VALUE!</v>
      </c>
      <c r="Q80" t="s">
        <v>35</v>
      </c>
      <c r="R80" t="s">
        <v>15</v>
      </c>
      <c r="S80" t="s">
        <v>55</v>
      </c>
      <c r="T80" t="str">
        <f t="shared" si="20"/>
        <v xml:space="preserve">Revenge of the Sith </v>
      </c>
    </row>
    <row r="81" spans="1:20" x14ac:dyDescent="0.6">
      <c r="A81" t="s">
        <v>242</v>
      </c>
      <c r="B81">
        <v>178</v>
      </c>
      <c r="C81" s="5">
        <f t="shared" si="12"/>
        <v>70</v>
      </c>
      <c r="D81">
        <f t="shared" si="13"/>
        <v>1.78</v>
      </c>
      <c r="E81">
        <v>48</v>
      </c>
      <c r="F81" s="5">
        <f t="shared" si="14"/>
        <v>105.75</v>
      </c>
      <c r="G81">
        <f t="shared" si="11"/>
        <v>15.149602322939023</v>
      </c>
      <c r="H81">
        <f t="shared" si="15"/>
        <v>57</v>
      </c>
      <c r="I81">
        <f t="shared" si="16"/>
        <v>-18.180463356896283</v>
      </c>
      <c r="J81" t="s">
        <v>29</v>
      </c>
      <c r="K81" t="s">
        <v>83</v>
      </c>
      <c r="L81" t="s">
        <v>30</v>
      </c>
      <c r="M81" t="s">
        <v>18</v>
      </c>
      <c r="N81" s="5" t="b">
        <f t="shared" si="17"/>
        <v>0</v>
      </c>
      <c r="O81" t="e">
        <f t="shared" si="18"/>
        <v>#VALUE!</v>
      </c>
      <c r="P81" s="3" t="e">
        <f t="shared" ca="1" si="19"/>
        <v>#VALUE!</v>
      </c>
      <c r="Q81" t="s">
        <v>243</v>
      </c>
      <c r="R81" t="s">
        <v>18</v>
      </c>
      <c r="S81" t="s">
        <v>192</v>
      </c>
      <c r="T81" t="str">
        <f t="shared" si="20"/>
        <v xml:space="preserve">Attack of the Clones </v>
      </c>
    </row>
    <row r="82" spans="1:20" x14ac:dyDescent="0.6">
      <c r="A82" t="s">
        <v>244</v>
      </c>
      <c r="B82">
        <v>206</v>
      </c>
      <c r="C82" s="5">
        <f t="shared" si="12"/>
        <v>81</v>
      </c>
      <c r="D82">
        <f t="shared" si="13"/>
        <v>2.06</v>
      </c>
      <c r="E82">
        <v>80</v>
      </c>
      <c r="F82" s="5">
        <f t="shared" si="14"/>
        <v>176.25</v>
      </c>
      <c r="G82">
        <f t="shared" si="11"/>
        <v>18.851918182675089</v>
      </c>
      <c r="H82">
        <f t="shared" si="15"/>
        <v>49</v>
      </c>
      <c r="I82">
        <f t="shared" si="16"/>
        <v>-14.478147497160219</v>
      </c>
      <c r="J82" t="s">
        <v>29</v>
      </c>
      <c r="K82" t="s">
        <v>82</v>
      </c>
      <c r="L82" t="s">
        <v>45</v>
      </c>
      <c r="M82" t="s">
        <v>18</v>
      </c>
      <c r="N82" s="5" t="b">
        <f t="shared" si="17"/>
        <v>0</v>
      </c>
      <c r="O82" t="e">
        <f t="shared" si="18"/>
        <v>#VALUE!</v>
      </c>
      <c r="P82" s="3" t="e">
        <f t="shared" ca="1" si="19"/>
        <v>#VALUE!</v>
      </c>
      <c r="Q82" t="s">
        <v>245</v>
      </c>
      <c r="R82" t="s">
        <v>246</v>
      </c>
      <c r="S82" t="s">
        <v>239</v>
      </c>
      <c r="T82" t="str">
        <f t="shared" si="20"/>
        <v>Revenge of the Sith</v>
      </c>
    </row>
    <row r="83" spans="1:20" x14ac:dyDescent="0.6">
      <c r="A83" t="s">
        <v>247</v>
      </c>
      <c r="B83" t="s">
        <v>18</v>
      </c>
      <c r="C83" s="5" t="e">
        <f t="shared" si="12"/>
        <v>#VALUE!</v>
      </c>
      <c r="D83" t="e">
        <f t="shared" si="13"/>
        <v>#VALUE!</v>
      </c>
      <c r="E83" t="s">
        <v>18</v>
      </c>
      <c r="F83" s="5" t="e">
        <f t="shared" si="14"/>
        <v>#VALUE!</v>
      </c>
      <c r="G83">
        <f t="shared" si="11"/>
        <v>0</v>
      </c>
      <c r="H83">
        <f t="shared" si="15"/>
        <v>60</v>
      </c>
      <c r="I83">
        <f t="shared" si="16"/>
        <v>-33.330065679835307</v>
      </c>
      <c r="J83" t="s">
        <v>45</v>
      </c>
      <c r="K83" t="s">
        <v>95</v>
      </c>
      <c r="L83" t="s">
        <v>95</v>
      </c>
      <c r="M83" t="s">
        <v>18</v>
      </c>
      <c r="N83" s="5" t="b">
        <f t="shared" si="17"/>
        <v>0</v>
      </c>
      <c r="O83" t="e">
        <f t="shared" si="18"/>
        <v>#VALUE!</v>
      </c>
      <c r="P83" s="3" t="e">
        <f t="shared" ca="1" si="19"/>
        <v>#VALUE!</v>
      </c>
      <c r="Q83" t="s">
        <v>18</v>
      </c>
      <c r="R83" t="s">
        <v>15</v>
      </c>
      <c r="S83" t="s">
        <v>248</v>
      </c>
      <c r="T83" t="str">
        <f t="shared" si="20"/>
        <v>The Force Awakens</v>
      </c>
    </row>
    <row r="84" spans="1:20" x14ac:dyDescent="0.6">
      <c r="A84" t="s">
        <v>249</v>
      </c>
      <c r="B84" t="s">
        <v>18</v>
      </c>
      <c r="C84" s="5" t="e">
        <f t="shared" si="12"/>
        <v>#VALUE!</v>
      </c>
      <c r="D84" t="e">
        <f t="shared" si="13"/>
        <v>#VALUE!</v>
      </c>
      <c r="E84" t="s">
        <v>18</v>
      </c>
      <c r="F84" s="5" t="e">
        <f t="shared" si="14"/>
        <v>#VALUE!</v>
      </c>
      <c r="G84">
        <f t="shared" si="11"/>
        <v>0</v>
      </c>
      <c r="H84">
        <f t="shared" si="15"/>
        <v>60</v>
      </c>
      <c r="I84">
        <f t="shared" si="16"/>
        <v>-33.330065679835307</v>
      </c>
      <c r="J84" t="s">
        <v>33</v>
      </c>
      <c r="K84" t="s">
        <v>34</v>
      </c>
      <c r="L84" t="s">
        <v>74</v>
      </c>
      <c r="M84" t="s">
        <v>18</v>
      </c>
      <c r="N84" s="5" t="b">
        <f t="shared" si="17"/>
        <v>0</v>
      </c>
      <c r="O84" t="e">
        <f t="shared" si="18"/>
        <v>#VALUE!</v>
      </c>
      <c r="P84" s="3" t="e">
        <f t="shared" ca="1" si="19"/>
        <v>#VALUE!</v>
      </c>
      <c r="Q84" t="s">
        <v>18</v>
      </c>
      <c r="R84" t="s">
        <v>15</v>
      </c>
      <c r="S84" t="s">
        <v>248</v>
      </c>
      <c r="T84" t="str">
        <f t="shared" si="20"/>
        <v>The Force Awakens</v>
      </c>
    </row>
    <row r="85" spans="1:20" x14ac:dyDescent="0.6">
      <c r="A85" t="s">
        <v>250</v>
      </c>
      <c r="B85" t="s">
        <v>18</v>
      </c>
      <c r="C85" s="5" t="e">
        <f t="shared" si="12"/>
        <v>#VALUE!</v>
      </c>
      <c r="D85" t="e">
        <f t="shared" si="13"/>
        <v>#VALUE!</v>
      </c>
      <c r="E85" t="s">
        <v>18</v>
      </c>
      <c r="F85" s="5" t="e">
        <f t="shared" si="14"/>
        <v>#VALUE!</v>
      </c>
      <c r="G85">
        <f t="shared" si="11"/>
        <v>0</v>
      </c>
      <c r="H85">
        <f t="shared" si="15"/>
        <v>60</v>
      </c>
      <c r="I85">
        <f t="shared" si="16"/>
        <v>-33.330065679835307</v>
      </c>
      <c r="J85" t="s">
        <v>33</v>
      </c>
      <c r="K85" t="s">
        <v>34</v>
      </c>
      <c r="L85" t="s">
        <v>33</v>
      </c>
      <c r="M85" t="s">
        <v>18</v>
      </c>
      <c r="N85" s="5" t="b">
        <f t="shared" si="17"/>
        <v>0</v>
      </c>
      <c r="O85" t="e">
        <f t="shared" si="18"/>
        <v>#VALUE!</v>
      </c>
      <c r="P85" s="3" t="e">
        <f t="shared" ca="1" si="19"/>
        <v>#VALUE!</v>
      </c>
      <c r="Q85" t="s">
        <v>18</v>
      </c>
      <c r="R85" t="s">
        <v>15</v>
      </c>
      <c r="S85" t="s">
        <v>248</v>
      </c>
      <c r="T85" t="str">
        <f t="shared" si="20"/>
        <v>The Force Awakens</v>
      </c>
    </row>
    <row r="86" spans="1:20" x14ac:dyDescent="0.6">
      <c r="A86" t="s">
        <v>251</v>
      </c>
      <c r="B86" t="s">
        <v>18</v>
      </c>
      <c r="C86" s="5" t="e">
        <f t="shared" si="12"/>
        <v>#VALUE!</v>
      </c>
      <c r="D86" t="e">
        <f t="shared" si="13"/>
        <v>#VALUE!</v>
      </c>
      <c r="E86" t="s">
        <v>18</v>
      </c>
      <c r="F86" s="5" t="e">
        <f t="shared" si="14"/>
        <v>#VALUE!</v>
      </c>
      <c r="G86">
        <f t="shared" si="11"/>
        <v>0</v>
      </c>
      <c r="H86">
        <f t="shared" si="15"/>
        <v>60</v>
      </c>
      <c r="I86">
        <f t="shared" si="16"/>
        <v>-33.330065679835307</v>
      </c>
      <c r="J86" t="s">
        <v>29</v>
      </c>
      <c r="K86" t="s">
        <v>29</v>
      </c>
      <c r="L86" t="s">
        <v>45</v>
      </c>
      <c r="M86" t="s">
        <v>18</v>
      </c>
      <c r="N86" s="5" t="b">
        <f t="shared" si="17"/>
        <v>0</v>
      </c>
      <c r="O86" t="e">
        <f t="shared" si="18"/>
        <v>#VALUE!</v>
      </c>
      <c r="P86" s="3" t="e">
        <f t="shared" ca="1" si="19"/>
        <v>#VALUE!</v>
      </c>
      <c r="Q86" t="s">
        <v>18</v>
      </c>
      <c r="R86" t="s">
        <v>21</v>
      </c>
      <c r="S86" t="s">
        <v>248</v>
      </c>
      <c r="T86" t="str">
        <f t="shared" si="20"/>
        <v>The Force Awakens</v>
      </c>
    </row>
    <row r="87" spans="1:20" x14ac:dyDescent="0.6">
      <c r="A87" t="s">
        <v>252</v>
      </c>
      <c r="B87" t="s">
        <v>18</v>
      </c>
      <c r="C87" s="5" t="e">
        <f t="shared" si="12"/>
        <v>#VALUE!</v>
      </c>
      <c r="D87" t="e">
        <f t="shared" si="13"/>
        <v>#VALUE!</v>
      </c>
      <c r="E87" t="s">
        <v>18</v>
      </c>
      <c r="F87" s="5" t="e">
        <f t="shared" si="14"/>
        <v>#VALUE!</v>
      </c>
      <c r="G87">
        <f t="shared" si="11"/>
        <v>0</v>
      </c>
      <c r="H87">
        <f t="shared" si="15"/>
        <v>60</v>
      </c>
      <c r="I87">
        <f t="shared" si="16"/>
        <v>-33.330065679835307</v>
      </c>
      <c r="J87" t="s">
        <v>57</v>
      </c>
      <c r="K87" t="s">
        <v>57</v>
      </c>
      <c r="L87" t="s">
        <v>57</v>
      </c>
      <c r="M87" t="s">
        <v>18</v>
      </c>
      <c r="N87" s="5" t="b">
        <f t="shared" si="17"/>
        <v>0</v>
      </c>
      <c r="O87" t="e">
        <f t="shared" si="18"/>
        <v>#VALUE!</v>
      </c>
      <c r="P87" s="3" t="e">
        <f t="shared" ca="1" si="19"/>
        <v>#VALUE!</v>
      </c>
      <c r="Q87" t="s">
        <v>18</v>
      </c>
      <c r="R87" t="s">
        <v>18</v>
      </c>
      <c r="S87" t="s">
        <v>248</v>
      </c>
      <c r="T87" t="str">
        <f t="shared" si="20"/>
        <v>The Force Awakens</v>
      </c>
    </row>
    <row r="88" spans="1:20" x14ac:dyDescent="0.6">
      <c r="A88" t="s">
        <v>253</v>
      </c>
      <c r="B88">
        <v>165</v>
      </c>
      <c r="C88" s="5">
        <f t="shared" si="12"/>
        <v>64.5</v>
      </c>
      <c r="D88">
        <f t="shared" si="13"/>
        <v>1.65</v>
      </c>
      <c r="E88">
        <v>45</v>
      </c>
      <c r="F88" s="5">
        <f t="shared" si="14"/>
        <v>99.25</v>
      </c>
      <c r="G88">
        <f t="shared" si="11"/>
        <v>16.528925619834713</v>
      </c>
      <c r="H88">
        <f t="shared" si="15"/>
        <v>55</v>
      </c>
      <c r="I88">
        <f t="shared" si="16"/>
        <v>-16.801140060000595</v>
      </c>
      <c r="J88" t="s">
        <v>33</v>
      </c>
      <c r="K88" t="s">
        <v>34</v>
      </c>
      <c r="L88" t="s">
        <v>33</v>
      </c>
      <c r="M88">
        <v>46</v>
      </c>
      <c r="N88" s="5" t="b">
        <f t="shared" si="17"/>
        <v>1</v>
      </c>
      <c r="O88">
        <f t="shared" si="18"/>
        <v>16790</v>
      </c>
      <c r="P88" s="3">
        <f t="shared" ca="1" si="19"/>
        <v>29247</v>
      </c>
      <c r="Q88" t="s">
        <v>26</v>
      </c>
      <c r="R88" t="s">
        <v>15</v>
      </c>
      <c r="S88" t="s">
        <v>51</v>
      </c>
      <c r="T88" t="str">
        <f t="shared" si="20"/>
        <v xml:space="preserve">Attack of the Clones </v>
      </c>
    </row>
    <row r="89" spans="1:20" x14ac:dyDescent="0.6">
      <c r="C89" s="5">
        <f t="shared" si="12"/>
        <v>0</v>
      </c>
      <c r="F89" s="5">
        <f t="shared" si="14"/>
        <v>0</v>
      </c>
      <c r="G89" s="5">
        <f>AVERAGEIF(G2:G88, "&lt;&gt;0")</f>
        <v>32.048638992833226</v>
      </c>
      <c r="H89" s="6"/>
      <c r="N89" s="5" t="b">
        <f t="shared" si="17"/>
        <v>0</v>
      </c>
      <c r="P89" s="4"/>
      <c r="T89" t="str">
        <f t="shared" si="20"/>
        <v/>
      </c>
    </row>
    <row r="90" spans="1:20" x14ac:dyDescent="0.6">
      <c r="P90" s="3"/>
    </row>
    <row r="92" spans="1:20" x14ac:dyDescent="0.6">
      <c r="A92">
        <v>43</v>
      </c>
      <c r="B92" s="5" t="str">
        <f>_xlfn.XLOOKUP(43,M2:M88,A2:A88,,1)</f>
        <v>Greedo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1CDE-F667-4CCD-9594-841E2387438A}">
  <dimension ref="A1:B3"/>
  <sheetViews>
    <sheetView workbookViewId="0">
      <selection activeCell="B3" sqref="B3"/>
    </sheetView>
  </sheetViews>
  <sheetFormatPr defaultRowHeight="15.6" x14ac:dyDescent="0.6"/>
  <sheetData>
    <row r="1" spans="1:2" x14ac:dyDescent="0.6">
      <c r="A1" t="s">
        <v>268</v>
      </c>
      <c r="B1" t="s">
        <v>277</v>
      </c>
    </row>
    <row r="2" spans="1:2" x14ac:dyDescent="0.6">
      <c r="A2" t="s">
        <v>269</v>
      </c>
      <c r="B2" t="s">
        <v>276</v>
      </c>
    </row>
    <row r="3" spans="1:2" x14ac:dyDescent="0.6">
      <c r="A3" t="s">
        <v>270</v>
      </c>
      <c r="B3" t="s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6" x14ac:dyDescent="0.6"/>
  <cols>
    <col min="1" max="1" width="10.34765625" bestFit="1" customWidth="1"/>
    <col min="2" max="2" width="23.75" bestFit="1" customWidth="1"/>
  </cols>
  <sheetData>
    <row r="1" spans="1:2" x14ac:dyDescent="0.6">
      <c r="A1" s="1" t="s">
        <v>0</v>
      </c>
      <c r="B1" s="2" t="s">
        <v>254</v>
      </c>
    </row>
    <row r="2" spans="1:2" x14ac:dyDescent="0.6">
      <c r="A2" s="1" t="s">
        <v>1</v>
      </c>
      <c r="B2" s="2" t="s">
        <v>255</v>
      </c>
    </row>
    <row r="3" spans="1:2" x14ac:dyDescent="0.6">
      <c r="A3" s="1" t="s">
        <v>2</v>
      </c>
      <c r="B3" s="2" t="s">
        <v>256</v>
      </c>
    </row>
    <row r="4" spans="1:2" x14ac:dyDescent="0.6">
      <c r="A4" s="1" t="s">
        <v>3</v>
      </c>
      <c r="B4" s="2" t="s">
        <v>257</v>
      </c>
    </row>
    <row r="5" spans="1:2" x14ac:dyDescent="0.6">
      <c r="A5" s="1" t="s">
        <v>4</v>
      </c>
      <c r="B5" s="2" t="s">
        <v>258</v>
      </c>
    </row>
    <row r="6" spans="1:2" x14ac:dyDescent="0.6">
      <c r="A6" s="1" t="s">
        <v>5</v>
      </c>
      <c r="B6" s="2" t="s">
        <v>259</v>
      </c>
    </row>
    <row r="7" spans="1:2" x14ac:dyDescent="0.6">
      <c r="A7" s="1" t="s">
        <v>6</v>
      </c>
      <c r="B7" s="2" t="s">
        <v>260</v>
      </c>
    </row>
    <row r="8" spans="1:2" x14ac:dyDescent="0.6">
      <c r="A8" s="1" t="s">
        <v>7</v>
      </c>
      <c r="B8" s="2" t="s">
        <v>261</v>
      </c>
    </row>
    <row r="9" spans="1:2" x14ac:dyDescent="0.6">
      <c r="A9" s="1" t="s">
        <v>8</v>
      </c>
      <c r="B9" s="2" t="s">
        <v>262</v>
      </c>
    </row>
    <row r="10" spans="1:2" x14ac:dyDescent="0.6">
      <c r="A10" s="1" t="s">
        <v>9</v>
      </c>
      <c r="B10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starwars</vt:lpstr>
      <vt:lpstr>Answers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Deva  Holub</cp:lastModifiedBy>
  <cp:revision/>
  <dcterms:created xsi:type="dcterms:W3CDTF">2020-02-17T22:11:26Z</dcterms:created>
  <dcterms:modified xsi:type="dcterms:W3CDTF">2026-01-15T23:05:09Z</dcterms:modified>
  <cp:category/>
  <cp:contentStatus/>
</cp:coreProperties>
</file>